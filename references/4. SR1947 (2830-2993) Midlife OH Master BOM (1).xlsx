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shingtondcmetro-my.sharepoint.com/personal/mclark_wmata_com/Documents/Documents/Rehab 2830 - 2993/"/>
    </mc:Choice>
  </mc:AlternateContent>
  <xr:revisionPtr revIDLastSave="0" documentId="8_{FDCBE4F4-DDCE-494F-B33B-F9D17548FD52}" xr6:coauthVersionLast="47" xr6:coauthVersionMax="47" xr10:uidLastSave="{00000000-0000-0000-0000-000000000000}"/>
  <bookViews>
    <workbookView xWindow="-108" yWindow="-108" windowWidth="23256" windowHeight="12576" xr2:uid="{55866557-FB25-4DE3-BE98-631A0D995A61}"/>
  </bookViews>
  <sheets>
    <sheet name="KIT PNs" sheetId="21" r:id="rId1"/>
    <sheet name="Body 1" sheetId="2" r:id="rId2"/>
    <sheet name="Body 2" sheetId="3" r:id="rId3"/>
    <sheet name="Axle 1" sheetId="4" r:id="rId4"/>
    <sheet name="Axle 2" sheetId="5" r:id="rId5"/>
    <sheet name="Bulkhead 1" sheetId="6" r:id="rId6"/>
    <sheet name="Bulkhead 2" sheetId="7" r:id="rId7"/>
    <sheet name="Engine Build Up 1" sheetId="8" r:id="rId8"/>
    <sheet name="Engine Build Up 2" sheetId="9" r:id="rId9"/>
    <sheet name="Hose" sheetId="10" r:id="rId10"/>
    <sheet name="S. Units AFC 1" sheetId="11" r:id="rId11"/>
    <sheet name="S. Units AFC 2" sheetId="12" r:id="rId12"/>
    <sheet name="S. Units CTF 1" sheetId="13" r:id="rId13"/>
    <sheet name="S. Units CTF 2" sheetId="14" r:id="rId14"/>
    <sheet name="Engine Rebuild" sheetId="15" r:id="rId15"/>
    <sheet name="Engine Recon" sheetId="16" r:id="rId16"/>
    <sheet name="Engine Cooling" sheetId="17" r:id="rId17"/>
    <sheet name="Transmission Rebuild" sheetId="18" r:id="rId18"/>
    <sheet name="Farebox Rebuild" sheetId="19" r:id="rId19"/>
    <sheet name="Single Pulls" sheetId="1" r:id="rId20"/>
    <sheet name="AXLE HARDWARE" sheetId="20" r:id="rId21"/>
  </sheets>
  <definedNames>
    <definedName name="_xlnm.Print_Area" localSheetId="3">'Axle 1'!$A$1:$J$68</definedName>
    <definedName name="_xlnm.Print_Area" localSheetId="4">'Axle 2'!$A$1:$J$23</definedName>
    <definedName name="_xlnm.Print_Area" localSheetId="1">'Body 1'!$A$1:$J$25</definedName>
    <definedName name="_xlnm.Print_Area" localSheetId="2">'Body 2'!$A$1:$J$24</definedName>
    <definedName name="_xlnm.Print_Area" localSheetId="5">'Bulkhead 1'!$A$1:$J$124</definedName>
    <definedName name="_xlnm.Print_Area" localSheetId="6">'Bulkhead 2'!$A$1:$J$43</definedName>
    <definedName name="_xlnm.Print_Area" localSheetId="7">'Engine Build Up 1'!$A$1:$J$34</definedName>
    <definedName name="_xlnm.Print_Area" localSheetId="8">'Engine Build Up 2'!$A$1:$J$23</definedName>
    <definedName name="_xlnm.Print_Area" localSheetId="16">'Engine Cooling'!$A$1:$H$5</definedName>
    <definedName name="_xlnm.Print_Area" localSheetId="14">'Engine Rebuild'!$A$1:$H$42</definedName>
    <definedName name="_xlnm.Print_Area" localSheetId="15">'Engine Recon'!$A$1:$H$5</definedName>
    <definedName name="_xlnm.Print_Area" localSheetId="18">'Farebox Rebuild'!$A$1:$J$37</definedName>
    <definedName name="_xlnm.Print_Area" localSheetId="9">Hose!$A$1:$J$49</definedName>
    <definedName name="_xlnm.Print_Area" localSheetId="10">'S. Units AFC 1'!$A$1:$J$82</definedName>
    <definedName name="_xlnm.Print_Area" localSheetId="11">'S. Units AFC 2'!$A$1:$J$84</definedName>
    <definedName name="_xlnm.Print_Area" localSheetId="12">'S. Units CTF 1'!$A$1:$J$44</definedName>
    <definedName name="_xlnm.Print_Area" localSheetId="13">'S. Units CTF 2'!$A$1:$J$26</definedName>
    <definedName name="_xlnm.Print_Area" localSheetId="17">'Transmission Rebuild'!$A$1:$I$104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20" l="1"/>
  <c r="E12" i="20"/>
  <c r="E11" i="20"/>
  <c r="E10" i="20"/>
  <c r="E9" i="20"/>
  <c r="E8" i="20"/>
  <c r="E7" i="20"/>
  <c r="E6" i="20"/>
  <c r="E5" i="20"/>
  <c r="E4" i="20"/>
  <c r="E3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Curtis, Jerome</author>
  </authors>
  <commentList>
    <comment ref="D17" authorId="0" shapeId="0" xr:uid="{8130E3EE-D11D-4B7D-B980-1F96CF6BE763}">
      <text>
        <r>
          <rPr>
            <b/>
            <sz val="9"/>
            <color indexed="81"/>
            <rFont val="Tahoma"/>
            <family val="2"/>
          </rPr>
          <t>Curtis, Jerome:</t>
        </r>
        <r>
          <rPr>
            <sz val="9"/>
            <color indexed="81"/>
            <rFont val="Tahoma"/>
            <family val="2"/>
          </rPr>
          <t xml:space="preserve">
Part # 038047</t>
        </r>
      </text>
    </comment>
  </commentList>
</comments>
</file>

<file path=xl/sharedStrings.xml><?xml version="1.0" encoding="utf-8"?>
<sst xmlns="http://schemas.openxmlformats.org/spreadsheetml/2006/main" count="3209" uniqueCount="1472">
  <si>
    <t>PART #s</t>
  </si>
  <si>
    <t>SUPPORT SERVICES SHOP - CTF (SR110)</t>
  </si>
  <si>
    <t>HEAVY OVERHAUL SHOP - ANDREWS (SR145)</t>
  </si>
  <si>
    <t>S UNITS 
&amp; AXLES</t>
  </si>
  <si>
    <t>POWER PLANT</t>
  </si>
  <si>
    <t>FAREBOX</t>
  </si>
  <si>
    <t>AXLES</t>
  </si>
  <si>
    <t>BULKHEAD</t>
  </si>
  <si>
    <t>ENG. BUILDUP</t>
  </si>
  <si>
    <t>HOSES</t>
  </si>
  <si>
    <t>E-FAN</t>
  </si>
  <si>
    <t>S UNITS</t>
  </si>
  <si>
    <t>BODY</t>
  </si>
  <si>
    <t>REBUILD</t>
  </si>
  <si>
    <t>RECON</t>
  </si>
  <si>
    <t>TRANS</t>
  </si>
  <si>
    <t xml:space="preserve">WMATA </t>
  </si>
  <si>
    <t>999-70-0131</t>
  </si>
  <si>
    <t>999-70-0132</t>
  </si>
  <si>
    <t>801-70-0006</t>
  </si>
  <si>
    <t>999-46-0005</t>
  </si>
  <si>
    <t>999-70-0126</t>
  </si>
  <si>
    <t>999-70-0127</t>
  </si>
  <si>
    <t>999-70-0128</t>
  </si>
  <si>
    <t>999-70-0129</t>
  </si>
  <si>
    <t>822-72-0563</t>
  </si>
  <si>
    <t>999-70-0130</t>
  </si>
  <si>
    <t>999-70-0125</t>
  </si>
  <si>
    <t xml:space="preserve">VENDOR </t>
  </si>
  <si>
    <t>ISLG1947</t>
  </si>
  <si>
    <t>DR7715</t>
  </si>
  <si>
    <t>1A021946000-1</t>
  </si>
  <si>
    <t>999-70-0142</t>
  </si>
  <si>
    <t>906-72-0624</t>
  </si>
  <si>
    <t>999-70-0138</t>
  </si>
  <si>
    <t>999-70-0139</t>
  </si>
  <si>
    <t>999-70-0140</t>
  </si>
  <si>
    <t>999-70-0141</t>
  </si>
  <si>
    <t>999-70-0137</t>
  </si>
  <si>
    <t>82-91670-000</t>
  </si>
  <si>
    <t>WMATA KIT P/N: 999-70-0125 - KIT, BODY SHOP HOMT-AFC</t>
  </si>
  <si>
    <t>Offeror to complete this Section</t>
  </si>
  <si>
    <t xml:space="preserve">WMATA P/N </t>
  </si>
  <si>
    <t>QTY</t>
  </si>
  <si>
    <t>DESCRIPTION</t>
  </si>
  <si>
    <t xml:space="preserve">OEM </t>
  </si>
  <si>
    <t>ALTERNATE MANUFACTURER</t>
  </si>
  <si>
    <t>VENDOR P/N</t>
  </si>
  <si>
    <t>PRICE</t>
  </si>
  <si>
    <t>NAME</t>
  </si>
  <si>
    <t>P/N</t>
  </si>
  <si>
    <t>EA</t>
  </si>
  <si>
    <t>EXT</t>
  </si>
  <si>
    <t>Cylinder Assembly, 25 lbs.</t>
  </si>
  <si>
    <t>NEW FLYER INDUSTRIES LTD</t>
  </si>
  <si>
    <t>102264</t>
  </si>
  <si>
    <t>Cylinder Assembly, 10lbs.</t>
  </si>
  <si>
    <t>205142</t>
  </si>
  <si>
    <t>Rubber Door Stop</t>
  </si>
  <si>
    <t>WURTH ADAMS NUT AND BOLT CO</t>
  </si>
  <si>
    <t>106654</t>
  </si>
  <si>
    <t>Cylinder Assembly, 10 lbs.</t>
  </si>
  <si>
    <t>370035</t>
  </si>
  <si>
    <t>Modesty Panel</t>
  </si>
  <si>
    <t>568052</t>
  </si>
  <si>
    <t>Screen, Radiator Door Assembly</t>
  </si>
  <si>
    <t>422875</t>
  </si>
  <si>
    <t>Cylinder Assembly, 60 lbs.</t>
  </si>
  <si>
    <t>359218</t>
  </si>
  <si>
    <t xml:space="preserve">Strap, Stanchion Assst </t>
  </si>
  <si>
    <t>RIVER DRIVE MANUFACTURING</t>
  </si>
  <si>
    <t>S-0031099-YTXP</t>
  </si>
  <si>
    <t>Sunvisor</t>
  </si>
  <si>
    <t>ROSCO INCORPORATED</t>
  </si>
  <si>
    <t>968</t>
  </si>
  <si>
    <t>Nosing, Yellow Exit</t>
  </si>
  <si>
    <t>ERV PARENT COMPANY LTD</t>
  </si>
  <si>
    <t>439648</t>
  </si>
  <si>
    <t>Plate-Farebox pedestal Access</t>
  </si>
  <si>
    <t>Assy-Farebox Pedestal</t>
  </si>
  <si>
    <t>Channel -Rad Screen Btm</t>
  </si>
  <si>
    <t>422944</t>
  </si>
  <si>
    <t>Cylinder AssemblY,Locking 60  lbs</t>
  </si>
  <si>
    <t>438527</t>
  </si>
  <si>
    <t>DoorAssembly, Surge Tank Access</t>
  </si>
  <si>
    <t>ACCUFAB METAL WORKS</t>
  </si>
  <si>
    <t>Cylinder Assemble, Assisting</t>
  </si>
  <si>
    <t>492685</t>
  </si>
  <si>
    <t>Cylinder Assembly,Assisting</t>
  </si>
  <si>
    <t>492796</t>
  </si>
  <si>
    <t>Cylinder Assembly,Locking</t>
  </si>
  <si>
    <t>492838</t>
  </si>
  <si>
    <t>Cylinder Assembly,Gas 30Lbs</t>
  </si>
  <si>
    <t>482662</t>
  </si>
  <si>
    <t>Cylinder Assembly, 100Lbf</t>
  </si>
  <si>
    <t>Cylinder Assembly Locking</t>
  </si>
  <si>
    <t>Parts listed above are required to support the 2015-16 NF XN40 (SR1947: 2830-2993) Bus Midlife Overhaul at HOMT AFC. 
Note: BOM subject to change after installation on PILOT Buses and thereafter, as required.</t>
  </si>
  <si>
    <t>WMATA KIT P/N: 999-70-0137 - KIT, BODY SHOP HOMT-AFC</t>
  </si>
  <si>
    <t xml:space="preserve">WMATA # </t>
  </si>
  <si>
    <t>Bike Rack</t>
  </si>
  <si>
    <t>SPORTWORKS NW</t>
  </si>
  <si>
    <t>100634-QR</t>
  </si>
  <si>
    <t>Roller with Bracket, Entance Door, Fore</t>
  </si>
  <si>
    <t>VAPOR BUS INTERNATIONAL</t>
  </si>
  <si>
    <t>50826186-00</t>
  </si>
  <si>
    <t>Roller with Bracket, Entance Door, Aft</t>
  </si>
  <si>
    <t>50826166-00</t>
  </si>
  <si>
    <t>Brush Assembly, Entrance Door</t>
  </si>
  <si>
    <t>50726467-02</t>
  </si>
  <si>
    <t>Glass, Door 45% Gray</t>
  </si>
  <si>
    <t>AROW GLOBAL CORP</t>
  </si>
  <si>
    <t>AR0003417</t>
  </si>
  <si>
    <t>Pivot Assembly, Fore</t>
  </si>
  <si>
    <t>59420869-04</t>
  </si>
  <si>
    <t>Pivot Assembly, Aft</t>
  </si>
  <si>
    <t>51020136-00</t>
  </si>
  <si>
    <t>Rod, Pivot</t>
  </si>
  <si>
    <t>79016672-06</t>
  </si>
  <si>
    <t>Bearing, Flange</t>
  </si>
  <si>
    <t>56010007-22</t>
  </si>
  <si>
    <t>Trash Bag</t>
  </si>
  <si>
    <t>#1SMG</t>
  </si>
  <si>
    <t>NEEDLES EYE</t>
  </si>
  <si>
    <t>Reflector, Amber</t>
  </si>
  <si>
    <t>PETERSON MFG</t>
  </si>
  <si>
    <t>B491A</t>
  </si>
  <si>
    <t>Reflector, Red</t>
  </si>
  <si>
    <t>B491R</t>
  </si>
  <si>
    <t>Drivers Side Mirror</t>
  </si>
  <si>
    <t>SAFE FLEET BUS AND RAIL</t>
  </si>
  <si>
    <t>NFX1500-OTS</t>
  </si>
  <si>
    <t>Brush, Entrance Door Upper</t>
  </si>
  <si>
    <t>50736474-01</t>
  </si>
  <si>
    <t>Pivid  Assembly,Fore(Inc.2-4)</t>
  </si>
  <si>
    <t>51020329-00</t>
  </si>
  <si>
    <t>Pivo Assembly, Aft (Incl. 2-8)</t>
  </si>
  <si>
    <t>50726488-00</t>
  </si>
  <si>
    <t>Brush, Lower Fore Exit Door</t>
  </si>
  <si>
    <t>50840510-01</t>
  </si>
  <si>
    <t>Brush ,Lower Aft Exit Door</t>
  </si>
  <si>
    <t>50840510-00</t>
  </si>
  <si>
    <t>Wiper-Arm Assy 34.0</t>
  </si>
  <si>
    <t>SPRAGUE DEVICES</t>
  </si>
  <si>
    <t>19340-13-BS</t>
  </si>
  <si>
    <t>Driver's Seat</t>
  </si>
  <si>
    <t>RECARO NORTH AMERICA INC</t>
  </si>
  <si>
    <t>8X0.Q0.L41.XXHN</t>
  </si>
  <si>
    <t>WMATA KIT P/N: 999-70-0126 - KIT, CHASSIS LINE - AXLES HOMT-AFC</t>
  </si>
  <si>
    <t>OEM</t>
  </si>
  <si>
    <t>Plate, Shock Mount</t>
  </si>
  <si>
    <t>201584</t>
  </si>
  <si>
    <t>Nut, Flange Lock 3/8" - 16 UNC</t>
  </si>
  <si>
    <t>203772</t>
  </si>
  <si>
    <t>Washer, Flat Hardened 1/2"</t>
  </si>
  <si>
    <t>20W08000</t>
  </si>
  <si>
    <t>Washer, Flat Hardened 3/4"</t>
  </si>
  <si>
    <t>20W12000</t>
  </si>
  <si>
    <t>Bolt, Hex M18 x 2.0 x 115MM</t>
  </si>
  <si>
    <t>240061</t>
  </si>
  <si>
    <t>Bolt, Hex M14 x 1.5 x 66 MM</t>
  </si>
  <si>
    <t>240064</t>
  </si>
  <si>
    <t>Drag Link Assembly</t>
  </si>
  <si>
    <t>393842</t>
  </si>
  <si>
    <t>Plate, Mounting, Bellows</t>
  </si>
  <si>
    <t>348060</t>
  </si>
  <si>
    <t>Washer, Hardened M14</t>
  </si>
  <si>
    <t>Nut, Lock Nylon 1/2" - 13 UNC</t>
  </si>
  <si>
    <t>40N08000</t>
  </si>
  <si>
    <t>Washer, Hardened 3/4"</t>
  </si>
  <si>
    <t>Radius Rod Assembly, Upper</t>
  </si>
  <si>
    <t>MAN TRUCK AND BUS AG</t>
  </si>
  <si>
    <t>36.43220.6037</t>
  </si>
  <si>
    <t>Radius Rod Assembly, Lower</t>
  </si>
  <si>
    <t>ZF</t>
  </si>
  <si>
    <t>070345302800</t>
  </si>
  <si>
    <t>Bracket, Leveling Valve Link</t>
  </si>
  <si>
    <t>333144</t>
  </si>
  <si>
    <t>Hose Assembly, 3808 FL 45.1</t>
  </si>
  <si>
    <t>543288</t>
  </si>
  <si>
    <t>Washer, Flat Hardened 3/8"</t>
  </si>
  <si>
    <t>20W06000</t>
  </si>
  <si>
    <t>Bolt, Hex 3/8" - 16 UNC x 1 1/2" Lg.</t>
  </si>
  <si>
    <t>10B06024</t>
  </si>
  <si>
    <t>Bolt, Hex 3/8" - 16 UNC x 1 1/4" Lg.</t>
  </si>
  <si>
    <t>10B06020</t>
  </si>
  <si>
    <t xml:space="preserve">Spacer </t>
  </si>
  <si>
    <t>337479</t>
  </si>
  <si>
    <t>Radius Rod, Upper Rear</t>
  </si>
  <si>
    <t>466468</t>
  </si>
  <si>
    <t>Spacer, Radius Rod Mounting</t>
  </si>
  <si>
    <t>223196</t>
  </si>
  <si>
    <t>Bolt, Hex 3/4" - 10 UNC x 4" Lg.</t>
  </si>
  <si>
    <t>10B12064</t>
  </si>
  <si>
    <t>10b12064</t>
  </si>
  <si>
    <t>Bolt, M18 x 1.5 x 100MM Cl 10.9</t>
  </si>
  <si>
    <t>356808</t>
  </si>
  <si>
    <t>Radius Rod, Lower Rear</t>
  </si>
  <si>
    <t>466467</t>
  </si>
  <si>
    <t>Bolt, Hex 3/4" - 10 UNC x 6 1/2" Lg.</t>
  </si>
  <si>
    <t>10B12104</t>
  </si>
  <si>
    <t>Locknut, Unitorque 3/4"</t>
  </si>
  <si>
    <t>130733</t>
  </si>
  <si>
    <t>Elbow, 90 Degree Breather Barb 6MM</t>
  </si>
  <si>
    <t>392738</t>
  </si>
  <si>
    <t>Pad, Jacking</t>
  </si>
  <si>
    <t>Dowel</t>
  </si>
  <si>
    <t>238945</t>
  </si>
  <si>
    <t>Spacer, Block</t>
  </si>
  <si>
    <t>439331</t>
  </si>
  <si>
    <t>Breather, Membrane</t>
  </si>
  <si>
    <t>393314</t>
  </si>
  <si>
    <t>Tubing, Airbrake 1/4" O.D.</t>
  </si>
  <si>
    <t>067158</t>
  </si>
  <si>
    <t>Plate, Cover</t>
  </si>
  <si>
    <t>BERENDSEN FLUID POWER</t>
  </si>
  <si>
    <t>TCP-3</t>
  </si>
  <si>
    <t>Clamp, Double 3/4" O.D. Tube</t>
  </si>
  <si>
    <t>STNA14588</t>
  </si>
  <si>
    <t>Clamp, Twin</t>
  </si>
  <si>
    <t>3222/222 DPP</t>
  </si>
  <si>
    <t>Hose, 3808 FL 31.35</t>
  </si>
  <si>
    <t>543415</t>
  </si>
  <si>
    <t>Hose, 3808 FL 30.27</t>
  </si>
  <si>
    <t>543416</t>
  </si>
  <si>
    <t>Hose, 3808 FL 26.00</t>
  </si>
  <si>
    <t>586974</t>
  </si>
  <si>
    <t>Hose, 3806 FL 66.19</t>
  </si>
  <si>
    <t>543418</t>
  </si>
  <si>
    <t>Hose, 3806 FL 60.81</t>
  </si>
  <si>
    <t>543419</t>
  </si>
  <si>
    <t>Bolt, Hex 3/8" - 16 UNC x 1" Lg.</t>
  </si>
  <si>
    <t>10B06016</t>
  </si>
  <si>
    <t>Washer, Flat 3/8"</t>
  </si>
  <si>
    <t>10W06000</t>
  </si>
  <si>
    <t>Damper, Short Steering W/Sleeves</t>
  </si>
  <si>
    <t>STABILUS INC</t>
  </si>
  <si>
    <t>000979</t>
  </si>
  <si>
    <t>Mounting, Steering Damper Front</t>
  </si>
  <si>
    <t>579980</t>
  </si>
  <si>
    <t>Link Assembly, Leveling</t>
  </si>
  <si>
    <t>BARKSDALE INC</t>
  </si>
  <si>
    <t>320117</t>
  </si>
  <si>
    <t>Link Assembly, Leveling Curbside</t>
  </si>
  <si>
    <t>320133</t>
  </si>
  <si>
    <t>Link Assembly, Leveling Streetside</t>
  </si>
  <si>
    <t>Bracket, Curbside Leveling</t>
  </si>
  <si>
    <t>434960</t>
  </si>
  <si>
    <t>Bracket, Streetside Leveling</t>
  </si>
  <si>
    <t>443988</t>
  </si>
  <si>
    <t>Splash Guard, Front</t>
  </si>
  <si>
    <t>361853</t>
  </si>
  <si>
    <t>Mud Flap, Rear Center</t>
  </si>
  <si>
    <t>340681</t>
  </si>
  <si>
    <t>Bracket, Mud Flap Retainer</t>
  </si>
  <si>
    <t>341096</t>
  </si>
  <si>
    <t>Bracket, Rear Axle Mud Flap</t>
  </si>
  <si>
    <t>341133</t>
  </si>
  <si>
    <t>505318</t>
  </si>
  <si>
    <t>Strap, Ground</t>
  </si>
  <si>
    <t>WMATA KIT P/N: 999-70-0138 - KIT, CHASSIS LINE- AXLES HOMT-AFC</t>
  </si>
  <si>
    <t>Shock Absrber Assembly</t>
  </si>
  <si>
    <t>KONI NA LLC</t>
  </si>
  <si>
    <t>90-2517-SP1</t>
  </si>
  <si>
    <t>Air Spring, Bellows</t>
  </si>
  <si>
    <t>FIRESTONE INDUSTRIAL PRODUCTS</t>
  </si>
  <si>
    <t>W01-W35-8497</t>
  </si>
  <si>
    <t>Elbow, 90 Degree Street 1/4" FPT Brass</t>
  </si>
  <si>
    <t>PARKER HANNIFIN CANADA</t>
  </si>
  <si>
    <t>2202P-4-4</t>
  </si>
  <si>
    <t>Connector, 1/2" O.D. x 1/4" PT</t>
  </si>
  <si>
    <t>FAIRVIEW FITTINGS</t>
  </si>
  <si>
    <t>1468V-8B</t>
  </si>
  <si>
    <t xml:space="preserve">Elbow, 45 Degree 3/8" PT x - 8 </t>
  </si>
  <si>
    <t>159F-8-6</t>
  </si>
  <si>
    <t>Nut, Capped Aluminum Front M22 x 1.5</t>
  </si>
  <si>
    <t>ALCOA INTER AMERICA INC</t>
  </si>
  <si>
    <t>4306.32</t>
  </si>
  <si>
    <t>Wheel, Aluminum Hub Piloted 22.5" x 8.25"</t>
  </si>
  <si>
    <t>886513DD</t>
  </si>
  <si>
    <t>90-2518-SP1</t>
  </si>
  <si>
    <t>Air Spring, Rear</t>
  </si>
  <si>
    <t>Elbow, 90 Degree Street 1/4" NPT x 1/4" FPT</t>
  </si>
  <si>
    <t>Elbow, 45 Degree 1/4" NPT x 1/4" FPT Brass</t>
  </si>
  <si>
    <t>2214P-4-4</t>
  </si>
  <si>
    <t>Elbow, 90 Degree 1/2" O.D. x 1/4" PT</t>
  </si>
  <si>
    <t>VS269NTA-8-4</t>
  </si>
  <si>
    <t>Adapter, Straight 8 NPT x 8 SAE</t>
  </si>
  <si>
    <t>48F-8-8</t>
  </si>
  <si>
    <t>Brake Chamber Assembly, E Stroke MJB2424</t>
  </si>
  <si>
    <t>MGM</t>
  </si>
  <si>
    <t>MJB2424ET760ESK</t>
  </si>
  <si>
    <t>Nipple, 3/8" PT - 45 Degree SAE</t>
  </si>
  <si>
    <t>2000-6-6B</t>
  </si>
  <si>
    <t>Adapter, .375" MPT - 8 SAE</t>
  </si>
  <si>
    <t>EATON CORPORATION</t>
  </si>
  <si>
    <t>2000-6-8B</t>
  </si>
  <si>
    <t>Nut, CappedAluminum Rear M22 x 1.5</t>
  </si>
  <si>
    <t>4307.32</t>
  </si>
  <si>
    <t>WMATA KIT P/N: 999-70-0127 - KIT, BULKHEAD HOMT-AFC</t>
  </si>
  <si>
    <t>Hydraulic Reservoir Assembly</t>
  </si>
  <si>
    <t>511120</t>
  </si>
  <si>
    <t>Bolt, Hex 5/8" - 11 UNC x 2" Lg.</t>
  </si>
  <si>
    <t>10B10032</t>
  </si>
  <si>
    <t>Bolt, Hex 3/4" - 10 UNC x 5 1/2" Lg.</t>
  </si>
  <si>
    <t>10B12088</t>
  </si>
  <si>
    <t>Washer, Flat Hardened 5/8"</t>
  </si>
  <si>
    <t>20W10000</t>
  </si>
  <si>
    <t>Nut, Lock Nylon 5/8" - 11 UNC</t>
  </si>
  <si>
    <t>40N10000</t>
  </si>
  <si>
    <t>Nut, Lock Nylon 3/4" - 10 UNC</t>
  </si>
  <si>
    <t>40N12000</t>
  </si>
  <si>
    <t>Clamp, Exhuast 4.75" I.D.</t>
  </si>
  <si>
    <t>VIBRANT POWER INC</t>
  </si>
  <si>
    <t>81007</t>
  </si>
  <si>
    <t>Clamp, Exhaust 4" V Band</t>
  </si>
  <si>
    <t>331992</t>
  </si>
  <si>
    <t>Connector, Flex</t>
  </si>
  <si>
    <t>495287</t>
  </si>
  <si>
    <t>Elbow, 45 Degree 4.0 I.D.</t>
  </si>
  <si>
    <t>PUROSIL</t>
  </si>
  <si>
    <t>3646-400-01</t>
  </si>
  <si>
    <t xml:space="preserve">Clamp, Exhaust 4"  </t>
  </si>
  <si>
    <t>RIKER PRODUCTS INCORPORATED</t>
  </si>
  <si>
    <t>U400</t>
  </si>
  <si>
    <t>Hose, Silicone 4" Dia.</t>
  </si>
  <si>
    <t>TP2082000</t>
  </si>
  <si>
    <t>Elbow, Rubber 5"</t>
  </si>
  <si>
    <t>042027</t>
  </si>
  <si>
    <t>Clamp, CAC Tube</t>
  </si>
  <si>
    <t>SHEKONIC GROUP LTD</t>
  </si>
  <si>
    <t>575053</t>
  </si>
  <si>
    <t>Plate, Cover 3/4" Tube</t>
  </si>
  <si>
    <t>COP-3</t>
  </si>
  <si>
    <t>Clamp, Single 3/4" Tube</t>
  </si>
  <si>
    <t>129263</t>
  </si>
  <si>
    <t>Connector</t>
  </si>
  <si>
    <t>BRENNAN INDUSTRIES INC</t>
  </si>
  <si>
    <t>7001-06-10-VITON</t>
  </si>
  <si>
    <t>Valve, Oil Sampling Push Button</t>
  </si>
  <si>
    <t>FLUID LINE PRODUCTS INC</t>
  </si>
  <si>
    <t>OSV-D-2</t>
  </si>
  <si>
    <t>Tee, Male 1/2" NPT</t>
  </si>
  <si>
    <t>5604-08-08-08-FG</t>
  </si>
  <si>
    <t>Clamp, Twin 20/17.2MM Dia.</t>
  </si>
  <si>
    <t>NOTT COMPANY</t>
  </si>
  <si>
    <t>320/17,2PAH</t>
  </si>
  <si>
    <t>Plate, Cover 2" Tube</t>
  </si>
  <si>
    <t>SCP-6</t>
  </si>
  <si>
    <t>Clamp, Hose 1.60" O.D.</t>
  </si>
  <si>
    <t>571580</t>
  </si>
  <si>
    <t>Elbow, 90 Degree 20 JIC x 20 JIC Swivel</t>
  </si>
  <si>
    <t>6701-20-20-BB</t>
  </si>
  <si>
    <t>Elbow, 90 Degree 20 ORB Male x 20 ORB Female</t>
  </si>
  <si>
    <t>6814-20-20-NWO-BB-VITON</t>
  </si>
  <si>
    <t>Adapter, 20 JIC x 20 ORB</t>
  </si>
  <si>
    <t>F6400-20-20-O-BB-VITON</t>
  </si>
  <si>
    <t>Washer, Lower</t>
  </si>
  <si>
    <t>011298</t>
  </si>
  <si>
    <t>Mount, Rubber</t>
  </si>
  <si>
    <t>TRELLEBORG INDUSTRIAL AVS INC</t>
  </si>
  <si>
    <t>20-02654-01</t>
  </si>
  <si>
    <t>Bolt, Hex 1/2" - 13 UNC x 2 3/4" Lg.</t>
  </si>
  <si>
    <t>10B08044</t>
  </si>
  <si>
    <t>Nut, Hex Jam 3/8" - 16 UNC</t>
  </si>
  <si>
    <t>20N06000</t>
  </si>
  <si>
    <t>Washer, Snubbing</t>
  </si>
  <si>
    <t>204587</t>
  </si>
  <si>
    <t>Bolt, Hex 3/8" - 16 UNC x 7.0" Lg. Fully Threaded</t>
  </si>
  <si>
    <t>369931</t>
  </si>
  <si>
    <t>Nut, Lock Nylon 3/8" - 16 UNC</t>
  </si>
  <si>
    <t>40N06000</t>
  </si>
  <si>
    <t>Mount, Center Bonded</t>
  </si>
  <si>
    <t>20-02667-01</t>
  </si>
  <si>
    <t>Clamp, Breeze .81" Dia. - 1.5" Dia.</t>
  </si>
  <si>
    <t>FORSTER INSTRUMENTS INC</t>
  </si>
  <si>
    <t>CT9416(045384)</t>
  </si>
  <si>
    <t>Clamp, 4" CAC Tube</t>
  </si>
  <si>
    <t>Clamp, T Bolt W/Spring 4.125" Dia. - 4.623" Dia.</t>
  </si>
  <si>
    <t>ACS427</t>
  </si>
  <si>
    <t>Clamp, T Bolt W/Spring 4.31" Dia. - 4.62" Dia.</t>
  </si>
  <si>
    <t>HC19-450</t>
  </si>
  <si>
    <t>Elbow, 90 Degree 4.0" I.D.</t>
  </si>
  <si>
    <t>PB2853-106428</t>
  </si>
  <si>
    <t>Elbow, 45 Degree Silicone 1.0" I.D.</t>
  </si>
  <si>
    <t>9046-100-MK</t>
  </si>
  <si>
    <t>Clamp, Lower Radiator Tube</t>
  </si>
  <si>
    <t>013480</t>
  </si>
  <si>
    <t>Plate, Clamp Cover</t>
  </si>
  <si>
    <t>SCP-5-G #128170</t>
  </si>
  <si>
    <t>Clamp, 1.38' O.D. Tube</t>
  </si>
  <si>
    <t>CLH-5138-PP</t>
  </si>
  <si>
    <t>Elbow, 90 Degree 20 ORB x 1.25" Tube Bead</t>
  </si>
  <si>
    <t>4601-20-20-NWO-FG-VITON</t>
  </si>
  <si>
    <t>Adapter, 20 ORB x 1.00" Tube Bead</t>
  </si>
  <si>
    <t>4604-16-20-O-VITON</t>
  </si>
  <si>
    <t>Clamp, 0.563" Dia. - 1.32" Dia.</t>
  </si>
  <si>
    <t>553153</t>
  </si>
  <si>
    <t xml:space="preserve">Clamp, Hose 0.562" Dia. - 1.57" Dia. </t>
  </si>
  <si>
    <t>553158</t>
  </si>
  <si>
    <t>Hose, Hump 62MM I.D.</t>
  </si>
  <si>
    <t>554006</t>
  </si>
  <si>
    <t>Hose, Hump 56MM I.D.</t>
  </si>
  <si>
    <t>554007</t>
  </si>
  <si>
    <t>Elbow, 90 Degree Silicone 56MM I.D.</t>
  </si>
  <si>
    <t>554008</t>
  </si>
  <si>
    <t>Clamp, 0.625" Dia. - 2.12" Dia.</t>
  </si>
  <si>
    <t>554108</t>
  </si>
  <si>
    <t>Clamp, 0.623" Dia. - 2.90" Dia</t>
  </si>
  <si>
    <t>554119</t>
  </si>
  <si>
    <t>Clamp, 0625" Dia. - 3.16" Dia.</t>
  </si>
  <si>
    <t>38210-0338</t>
  </si>
  <si>
    <t>Elbow 90 Degree Silicone 62MM I.D.</t>
  </si>
  <si>
    <t>VENAIR INC</t>
  </si>
  <si>
    <t>640901141710</t>
  </si>
  <si>
    <t>Clamp, Exhaust 4.0"</t>
  </si>
  <si>
    <t>Clamp, Saddle 2.50" Dia. SST</t>
  </si>
  <si>
    <t>UR250SS</t>
  </si>
  <si>
    <t>Clamp, Hose 0.56" Dia. - 1.06" Dia.</t>
  </si>
  <si>
    <t>548567</t>
  </si>
  <si>
    <t>Clamp, Hose 0.563" Dia. - 1.57" Dia.</t>
  </si>
  <si>
    <t>Pressure Cap Assembly, Surge Tank  Remote</t>
  </si>
  <si>
    <t>590309</t>
  </si>
  <si>
    <t>Clamp, Double 3/4"</t>
  </si>
  <si>
    <t>CLH-T-3075-PP</t>
  </si>
  <si>
    <t>Adapter, Tee 37 Degree Flare BLKHD To 37 Degree flare</t>
  </si>
  <si>
    <t>6602-04-04-04-FG</t>
  </si>
  <si>
    <t>Bolt, Hex 5/16" - 18 UNC x 2 1/2" Lg.</t>
  </si>
  <si>
    <t>10B05040</t>
  </si>
  <si>
    <t>Washer, Flat 5/16"</t>
  </si>
  <si>
    <t>10W05000</t>
  </si>
  <si>
    <t>10w05000</t>
  </si>
  <si>
    <t>Union, BLKHD - 4 JIC - 6 JIC</t>
  </si>
  <si>
    <t>2700-LN-06-04</t>
  </si>
  <si>
    <t>Adapter, - 4 JIC Orfice .120</t>
  </si>
  <si>
    <t>4 XHX7-S .120 ORIFICE</t>
  </si>
  <si>
    <t>Nut, Lock Nylon 5/16" - 18 UNC</t>
  </si>
  <si>
    <t>40N05000</t>
  </si>
  <si>
    <t>Bracket, Support</t>
  </si>
  <si>
    <t>418223</t>
  </si>
  <si>
    <t>Clamp, Tube 1.125" O.D.</t>
  </si>
  <si>
    <t>502245</t>
  </si>
  <si>
    <t>LHA SCP-4</t>
  </si>
  <si>
    <t>Clamp, Smart Seal .625" - 2.64"</t>
  </si>
  <si>
    <t>38210-0288</t>
  </si>
  <si>
    <t>Coolant Pressure Test Port</t>
  </si>
  <si>
    <t>486844</t>
  </si>
  <si>
    <t>Connector, Port SST 1/2"</t>
  </si>
  <si>
    <t>WINNIPEG FLUID SYSTEM TECHNOLO</t>
  </si>
  <si>
    <t>SS-811-PC</t>
  </si>
  <si>
    <t>Union, 9/16" ORB x 1/2" Tube</t>
  </si>
  <si>
    <t>SS-810-1-6STCE</t>
  </si>
  <si>
    <t>Connector, 3/4</t>
  </si>
  <si>
    <t>SS-810-1-8STCE</t>
  </si>
  <si>
    <t>Tee, 1/2" x 1/2" x 1/4" NPFT SST</t>
  </si>
  <si>
    <t>SS-810-3-4TTF</t>
  </si>
  <si>
    <t>Gauge, Low Pressure CNG</t>
  </si>
  <si>
    <t>273041</t>
  </si>
  <si>
    <t>Gauge, High Pressure CNG</t>
  </si>
  <si>
    <t>273040</t>
  </si>
  <si>
    <t>Regulator, Pressure</t>
  </si>
  <si>
    <t>384352</t>
  </si>
  <si>
    <t>Tube, 1/2" Manifold to Filter SST</t>
  </si>
  <si>
    <t>382503</t>
  </si>
  <si>
    <t>Tube, 1/2"Filter to Regulator SST</t>
  </si>
  <si>
    <t>Receptacle, Sherex 5000</t>
  </si>
  <si>
    <t>OPW FUELING COMPONENTS</t>
  </si>
  <si>
    <t>CL5078</t>
  </si>
  <si>
    <t>Receptacle, Sherex 3600</t>
  </si>
  <si>
    <t>LB3678</t>
  </si>
  <si>
    <t>Plate, Cover 1/2" Tube</t>
  </si>
  <si>
    <t>SCP-2</t>
  </si>
  <si>
    <t>Clamp, Single 1/2" Tube</t>
  </si>
  <si>
    <t>CLH-2050-PP</t>
  </si>
  <si>
    <t>Filter Assembly, Secondary CNG</t>
  </si>
  <si>
    <t>CUMMINS</t>
  </si>
  <si>
    <t>3914692</t>
  </si>
  <si>
    <t>Spacer, CNG Fuel Line</t>
  </si>
  <si>
    <t>087730</t>
  </si>
  <si>
    <t>Connector, 1/2" x 1/2" Tube</t>
  </si>
  <si>
    <t>SS-810-6-8AN</t>
  </si>
  <si>
    <t>Union, 1/2" x 1/2"</t>
  </si>
  <si>
    <t>SS-810-6</t>
  </si>
  <si>
    <t>Connector, 1 1/16" x 1/2"</t>
  </si>
  <si>
    <t>SS-810-1-12STCE</t>
  </si>
  <si>
    <t>Tube, 1/2" Dia. SST</t>
  </si>
  <si>
    <t>576965</t>
  </si>
  <si>
    <t>546225</t>
  </si>
  <si>
    <t>546226</t>
  </si>
  <si>
    <t>Clamp, 0.56" Dia. - 1.06" Dia.</t>
  </si>
  <si>
    <t>Firesleeve, 1" I.D.</t>
  </si>
  <si>
    <t>624-16</t>
  </si>
  <si>
    <t>Clamp, 1.38" O.D. Tube</t>
  </si>
  <si>
    <t>Loom, Thermal L Wrap</t>
  </si>
  <si>
    <t>165544</t>
  </si>
  <si>
    <t>201736</t>
  </si>
  <si>
    <t>Clamp, Twin 28MM Dia.</t>
  </si>
  <si>
    <t>4285/285D-PA</t>
  </si>
  <si>
    <t>Clamp, Hose 0.562" - 1.19" Dia.</t>
  </si>
  <si>
    <t>553150</t>
  </si>
  <si>
    <t>Clamp, Hose 0.562" - 1.57" Dia.</t>
  </si>
  <si>
    <t>Elbow, 90 Degree 34MM I.D. Silicone</t>
  </si>
  <si>
    <t>555454</t>
  </si>
  <si>
    <t>Elbow, 90 Degree 21MM I.D.  Silicone</t>
  </si>
  <si>
    <t>571540</t>
  </si>
  <si>
    <t>584690</t>
  </si>
  <si>
    <t>Clamp, Hose 1.02" - 1.33" Dia.</t>
  </si>
  <si>
    <t>574523</t>
  </si>
  <si>
    <t>Elbow, 90 Degree 18MM Dia. Silicone</t>
  </si>
  <si>
    <t>640901140637</t>
  </si>
  <si>
    <t>Clamp, Double 3/4" Tube</t>
  </si>
  <si>
    <t>GD-3D W3</t>
  </si>
  <si>
    <t>Strip, Bumper Isolators</t>
  </si>
  <si>
    <t>359168</t>
  </si>
  <si>
    <t>Spacer, Rear Bumper</t>
  </si>
  <si>
    <t>431807</t>
  </si>
  <si>
    <t>Plate, Strip</t>
  </si>
  <si>
    <t>401409</t>
  </si>
  <si>
    <t>WMATA KIT P/N: 999-70-0139 - KIT, BULKHEAD HOMT-AFC</t>
  </si>
  <si>
    <t>Offeror to Complete this Section</t>
  </si>
  <si>
    <t>Gasket, Marmon 4"</t>
  </si>
  <si>
    <t>NEW FLYER INDUSTRIES</t>
  </si>
  <si>
    <t>Q312526</t>
  </si>
  <si>
    <t>Lower Section</t>
  </si>
  <si>
    <t>4969768</t>
  </si>
  <si>
    <t>Catalyst Section</t>
  </si>
  <si>
    <t>4969771</t>
  </si>
  <si>
    <t>Upper Section</t>
  </si>
  <si>
    <t>4969774</t>
  </si>
  <si>
    <t>Clamp, V Band</t>
  </si>
  <si>
    <t>Gasket, Circular</t>
  </si>
  <si>
    <t>Screw, Hex Head</t>
  </si>
  <si>
    <t>Thermocouple</t>
  </si>
  <si>
    <t>4902912</t>
  </si>
  <si>
    <t>Clip, Retaining</t>
  </si>
  <si>
    <t>Clamp, T Bolt W/Spring</t>
  </si>
  <si>
    <t>Hose, Hump 4.0" I.D.</t>
  </si>
  <si>
    <t>DONALDSON CO INC</t>
  </si>
  <si>
    <t>P105609-016-700</t>
  </si>
  <si>
    <t>Filter 1/8" PT Air Intake</t>
  </si>
  <si>
    <t>P100089-016-541</t>
  </si>
  <si>
    <t>Clamp, T Bolt 4 1/4"</t>
  </si>
  <si>
    <t>HC19-425</t>
  </si>
  <si>
    <t>Elbow, Street 1/8"</t>
  </si>
  <si>
    <t>2202P-2-2</t>
  </si>
  <si>
    <t>Indicator, Air Restriction</t>
  </si>
  <si>
    <t>135501-00820(8111553)</t>
  </si>
  <si>
    <t>Air Filter Assembly</t>
  </si>
  <si>
    <t>P605536-016-140</t>
  </si>
  <si>
    <t>Safety Filter</t>
  </si>
  <si>
    <t>P601560</t>
  </si>
  <si>
    <t>Reducer, 1/2" Male NPT x 1/8" Female NPT</t>
  </si>
  <si>
    <t>2081-8-2S</t>
  </si>
  <si>
    <t>Oil Filter Assembly, Bypass</t>
  </si>
  <si>
    <t>T F HUDGIN INC</t>
  </si>
  <si>
    <t>73665</t>
  </si>
  <si>
    <t>Elbow, 90 Degree 8 PT - 6 JIC</t>
  </si>
  <si>
    <t>2024-8-6S</t>
  </si>
  <si>
    <t xml:space="preserve">Elbow, 90 Degree  </t>
  </si>
  <si>
    <t>8-8 CTX-S</t>
  </si>
  <si>
    <t>Adapter, Elbow 90 Degree Ext Pipe to 37 Degree Flare</t>
  </si>
  <si>
    <t>2024-4-4S</t>
  </si>
  <si>
    <t>Elbow, 90 Degree 20 ORB x 20 JIC</t>
  </si>
  <si>
    <t>213-206209-20-20</t>
  </si>
  <si>
    <t>Adapter, - 20 JIC x 1 5/8" ORB</t>
  </si>
  <si>
    <t>213-202702-20-20</t>
  </si>
  <si>
    <t>Elbow, 90 Degree 20 JIC x 20 ORB</t>
  </si>
  <si>
    <t>213-2062-20-20</t>
  </si>
  <si>
    <t>Elbow, 45 Degree SAE O  Ring Boss to 37 Degree Flare</t>
  </si>
  <si>
    <t>2061-4-4S</t>
  </si>
  <si>
    <t>4330737</t>
  </si>
  <si>
    <t>3926704</t>
  </si>
  <si>
    <t>Transcooler Assembly</t>
  </si>
  <si>
    <t>ROCORE THERMAL SYSTEMS LLC</t>
  </si>
  <si>
    <t>5-7064C</t>
  </si>
  <si>
    <t>Fitting, Barbed 1/4" MPT x 3/8" I.D.</t>
  </si>
  <si>
    <t>125HBL-6-4</t>
  </si>
  <si>
    <t>Elbow, 45 Degree 7/8" ORB x 3/4" JIC</t>
  </si>
  <si>
    <t>8-10 V5OX-SS</t>
  </si>
  <si>
    <t>Filter, Kit</t>
  </si>
  <si>
    <t>ALLISON TRANSMISSION</t>
  </si>
  <si>
    <t>Adapter, Ext Pipe to 37 Degree Flare</t>
  </si>
  <si>
    <t>2021-12-6S</t>
  </si>
  <si>
    <t>Coupler, 1/2" x 5/8"</t>
  </si>
  <si>
    <t>125-10D</t>
  </si>
  <si>
    <t>WMATA KIT P/N: 999-70-0128 - KIT, ENGINE BUILD UP HOMT-AFC</t>
  </si>
  <si>
    <t>Driveshaft Assembly</t>
  </si>
  <si>
    <t>458541</t>
  </si>
  <si>
    <t>Washer, Flat M10</t>
  </si>
  <si>
    <t>072353</t>
  </si>
  <si>
    <t>Bolt, M10 x 1.50 x 35</t>
  </si>
  <si>
    <t>6410774</t>
  </si>
  <si>
    <t>Tee, Branch 8 ORFS x 8 ORB</t>
  </si>
  <si>
    <t>FS6803-08-08-08-NWO-FG</t>
  </si>
  <si>
    <t>045076</t>
  </si>
  <si>
    <t>Bolt, M12  55MM</t>
  </si>
  <si>
    <t>059209</t>
  </si>
  <si>
    <t>Washer, Engine Rebound 2.38" O.D.</t>
  </si>
  <si>
    <t>20-02828-01</t>
  </si>
  <si>
    <t>Bolt, Hex 7/16" - 14 UNC x 1 3/4" Lg.</t>
  </si>
  <si>
    <t>10B07028</t>
  </si>
  <si>
    <t>Bolt, Hex 1/2" - 13 UNC x 1 3/4" Lg.</t>
  </si>
  <si>
    <t>10B08028</t>
  </si>
  <si>
    <t>Bolt, Hex 5/8" - 11 UNC x 4 9/16" Lg.</t>
  </si>
  <si>
    <t>10B10072</t>
  </si>
  <si>
    <t>E41P</t>
  </si>
  <si>
    <t>Washer, Flat Hardened 7/16"</t>
  </si>
  <si>
    <t>20W07000</t>
  </si>
  <si>
    <t>Bolt Hex M12 x 1.75 x 90MM</t>
  </si>
  <si>
    <t>227082</t>
  </si>
  <si>
    <t>Spacer, Front Engine Mount</t>
  </si>
  <si>
    <t>INTERSTATE COMP Inc</t>
  </si>
  <si>
    <t>Nut, Lock Nylon 7/16" - 14 UNC</t>
  </si>
  <si>
    <t>40N07000</t>
  </si>
  <si>
    <t>Engine Mount, Rear</t>
  </si>
  <si>
    <t>20-02281-01</t>
  </si>
  <si>
    <t>Engine Mount, Front</t>
  </si>
  <si>
    <t>20-02880-01</t>
  </si>
  <si>
    <t>U Clamp, 3 1/2"</t>
  </si>
  <si>
    <t>U350</t>
  </si>
  <si>
    <t>Gasket, Marmon 3.5"</t>
  </si>
  <si>
    <t>395859</t>
  </si>
  <si>
    <t>Exhaust Blanket Kit</t>
  </si>
  <si>
    <t>579382</t>
  </si>
  <si>
    <t>Accumulator Asy</t>
  </si>
  <si>
    <t>565693</t>
  </si>
  <si>
    <t>Dipstick Assembly</t>
  </si>
  <si>
    <t>329564</t>
  </si>
  <si>
    <t>Clamp, 1.00" Dia. Tube</t>
  </si>
  <si>
    <t>CLH-3100-PP</t>
  </si>
  <si>
    <t>Clamp, Cushioned Saddle</t>
  </si>
  <si>
    <t>UMPCO INC</t>
  </si>
  <si>
    <t>NAS1716C56K</t>
  </si>
  <si>
    <t>Elbow, 90 Degree 1/4" PT x - 4 JIC</t>
  </si>
  <si>
    <t>2501-04-04- FG</t>
  </si>
  <si>
    <t>Adapter, Elbow 45 Ext Pipe To 37 Degree Flare</t>
  </si>
  <si>
    <t>6 VTX-S</t>
  </si>
  <si>
    <t>Valve Pressure Test</t>
  </si>
  <si>
    <t>WMATA KIT P/N :999-70-0140 - KIT, ENGINE BUILD UP HOMT-AFC</t>
  </si>
  <si>
    <t>Elbow, 45 Degree 12 ORB/ 16 ORFS</t>
  </si>
  <si>
    <t>16-12 V5OLO-S FKM</t>
  </si>
  <si>
    <t>Gasket, Pump</t>
  </si>
  <si>
    <t>23516100</t>
  </si>
  <si>
    <t>Starter Motor Assembly, 24V</t>
  </si>
  <si>
    <t>REMY INC</t>
  </si>
  <si>
    <t>1990413</t>
  </si>
  <si>
    <t>Bolt, M12x175x50</t>
  </si>
  <si>
    <t>3968466</t>
  </si>
  <si>
    <t>Bolt, Hex HD 3/8"-16x7" Lg.</t>
  </si>
  <si>
    <t>Piston</t>
  </si>
  <si>
    <t>Valve, Solenoid</t>
  </si>
  <si>
    <t>Valve, Pressure Reducing 100psi RV-1</t>
  </si>
  <si>
    <t>BENDIX COMMERCIAL VEHICLE</t>
  </si>
  <si>
    <t>279003N</t>
  </si>
  <si>
    <t xml:space="preserve">Seal Kit </t>
  </si>
  <si>
    <t>Valve, Safety 200 PSI</t>
  </si>
  <si>
    <t>215057</t>
  </si>
  <si>
    <t>Adapter, Tee 1/4" PT</t>
  </si>
  <si>
    <t>2224P-4</t>
  </si>
  <si>
    <t>Tank, Muffler</t>
  </si>
  <si>
    <t>229076N</t>
  </si>
  <si>
    <t>Adapter, Elbow 45 Degree 1" O.D. x 3/4" PT</t>
  </si>
  <si>
    <t>S3754-16E</t>
  </si>
  <si>
    <t>Adapter, Ext Pipe To 37 Degree Flare</t>
  </si>
  <si>
    <t>2021-12-16S</t>
  </si>
  <si>
    <t>Elbow 90 Degree 1/4" MPT x 1/4" FPT</t>
  </si>
  <si>
    <t>3400X4</t>
  </si>
  <si>
    <t>Governor Assembly</t>
  </si>
  <si>
    <t>5010407</t>
  </si>
  <si>
    <t>2021-2-4</t>
  </si>
  <si>
    <t>Gasket, Governor</t>
  </si>
  <si>
    <t>236577N</t>
  </si>
  <si>
    <t>WMATA KIT P/N :999-70-0129 -KIT, HOSE HOMT-AFC</t>
  </si>
  <si>
    <t>Hose, EQ2 - 10 FL 46.0</t>
  </si>
  <si>
    <t>442386</t>
  </si>
  <si>
    <t>EQ2 - 8 FL 42.0</t>
  </si>
  <si>
    <t>HH8EQ/2BLK-42</t>
  </si>
  <si>
    <t>Adapter, Elbow 45 Degree - 8 JIC x 8 JIC</t>
  </si>
  <si>
    <t>2070-8-8S</t>
  </si>
  <si>
    <t>Hose, EQ1 - 16- FL 26.0</t>
  </si>
  <si>
    <t>489606</t>
  </si>
  <si>
    <t>Hose, EQ2 - 8 FL 33.0</t>
  </si>
  <si>
    <t>528621</t>
  </si>
  <si>
    <t>Hose Assembly, EQ1 - 06 FL 69.0</t>
  </si>
  <si>
    <t>426660</t>
  </si>
  <si>
    <t>Hose Assembly, EQ1 - 04 FL 56.0</t>
  </si>
  <si>
    <t>428824</t>
  </si>
  <si>
    <t>Hose Assembly, EQ1 - 08 FL 64.0</t>
  </si>
  <si>
    <t>576122</t>
  </si>
  <si>
    <t>Hose, EQ1 - 20 FL 52.0</t>
  </si>
  <si>
    <t>550857</t>
  </si>
  <si>
    <t>Hose, FC355 - 20 FL 50.0</t>
  </si>
  <si>
    <t>Hose, FC355 - 20 FL 31.0</t>
  </si>
  <si>
    <t>Hose Assembly, EQ1 - 4- FL 91.0</t>
  </si>
  <si>
    <t>511519</t>
  </si>
  <si>
    <t>Hose, Aramid 1.0" I.D.</t>
  </si>
  <si>
    <t>70N-100-48</t>
  </si>
  <si>
    <t>Hose, Silicone 24MM I.D.</t>
  </si>
  <si>
    <t>555446</t>
  </si>
  <si>
    <t>Hose, Silicone 31MM I.D.</t>
  </si>
  <si>
    <t>POWER SYSTEM</t>
  </si>
  <si>
    <t>555447</t>
  </si>
  <si>
    <t>Hose, Silicone 34MM I.D.</t>
  </si>
  <si>
    <t>555448</t>
  </si>
  <si>
    <t>Hose, Silicone 62MM I.D.</t>
  </si>
  <si>
    <t>553566</t>
  </si>
  <si>
    <t>Hose, Silicone 9MM 13" Lg.</t>
  </si>
  <si>
    <t>556632</t>
  </si>
  <si>
    <t>Hose Assembly, NOZ2 - 4 FL 44.5</t>
  </si>
  <si>
    <t>Hose Assembly, NOZ2 4 FL 33.0</t>
  </si>
  <si>
    <t>ORISKANY</t>
  </si>
  <si>
    <t>Hose Assembly, NOZ2 - 4 FL 29.0</t>
  </si>
  <si>
    <t>Hose Assembly, 2807 - 4 FL 14.5</t>
  </si>
  <si>
    <t>518607</t>
  </si>
  <si>
    <t>Hose Assembly, 2807 - 4 FL 19.0</t>
  </si>
  <si>
    <t>518608</t>
  </si>
  <si>
    <t>Hose Assembly, NOZ2 - 6 FL 31.0</t>
  </si>
  <si>
    <t>HH6NOZONE/2K-31A</t>
  </si>
  <si>
    <t>Hose Assembly, 2807 - 6 FL 12.0</t>
  </si>
  <si>
    <t>580473</t>
  </si>
  <si>
    <t>Hose Assembly, NOZ2 - 6 FL 25.5</t>
  </si>
  <si>
    <t>Hose Assembly, NOZ2 - 4 FL 15.0</t>
  </si>
  <si>
    <t>Hose Assembly, NOZ2 - 4 FL 23.5</t>
  </si>
  <si>
    <t>Loom, Thermal L Wrap 1"</t>
  </si>
  <si>
    <t>Hose, Silicone 5/16" I.D. Drain</t>
  </si>
  <si>
    <t>367201</t>
  </si>
  <si>
    <t>Hose, Silicone 49MM I.D.</t>
  </si>
  <si>
    <t>555451</t>
  </si>
  <si>
    <t>Hose Assembly, NOZONE - 12 FL 22.5</t>
  </si>
  <si>
    <t>HH12NOZONE/2K-22.5</t>
  </si>
  <si>
    <t>Hose Assembly</t>
  </si>
  <si>
    <t>406907</t>
  </si>
  <si>
    <t>Hose Silicone 15MM I.D. x 4' Lg.</t>
  </si>
  <si>
    <t>553437</t>
  </si>
  <si>
    <t>Hose Silicone 9MM 4" Lg.</t>
  </si>
  <si>
    <t>572938</t>
  </si>
  <si>
    <t>Hose, Silicone Rubber 9MM I.D. 8' Lg.</t>
  </si>
  <si>
    <t>573027</t>
  </si>
  <si>
    <t>Hose Assembly, EQ1 - 4 FL 43.0</t>
  </si>
  <si>
    <t>506730</t>
  </si>
  <si>
    <t>Hose Assembly, 2807 - 16 FL 34.0</t>
  </si>
  <si>
    <t>386463</t>
  </si>
  <si>
    <t>Hose Assembly, 2807 - 16 FL 25.0</t>
  </si>
  <si>
    <t>420033</t>
  </si>
  <si>
    <t>Hose Assembly, 2807 - 16 FL 18.0</t>
  </si>
  <si>
    <t>344351</t>
  </si>
  <si>
    <t>Hose Assembly, EQ1 - 04 FL 31.0</t>
  </si>
  <si>
    <t>428667</t>
  </si>
  <si>
    <t>Hose Assembly, EQ1 - 04 FL 46.0</t>
  </si>
  <si>
    <t>411075</t>
  </si>
  <si>
    <t>Hose, Silicone 27MM I.D.</t>
  </si>
  <si>
    <t>553564</t>
  </si>
  <si>
    <t>Hose, Silicone 18MM I.D.</t>
  </si>
  <si>
    <t>553560</t>
  </si>
  <si>
    <t>WMATA KIT P/N: 999-70-0130 -KIT, SMALL UNITS HOMT-AFC</t>
  </si>
  <si>
    <t>Plate, Front Brake Valves</t>
  </si>
  <si>
    <t>534089</t>
  </si>
  <si>
    <t>Valve Assembly, Double Check</t>
  </si>
  <si>
    <t>5947153</t>
  </si>
  <si>
    <t>Valve, Leveling</t>
  </si>
  <si>
    <t>561933</t>
  </si>
  <si>
    <t>Brake Valve Actuator, 85 psi</t>
  </si>
  <si>
    <t>477422</t>
  </si>
  <si>
    <t>Switch, Pressure 4 psi</t>
  </si>
  <si>
    <t>WESTBURNE ELECTRIC</t>
  </si>
  <si>
    <t>077030 00000040 01</t>
  </si>
  <si>
    <t>Valve Assembly, Brake E-6</t>
  </si>
  <si>
    <t>503138</t>
  </si>
  <si>
    <t>Switch, Turn Signal/PA Modified</t>
  </si>
  <si>
    <t>5925959</t>
  </si>
  <si>
    <t>High beam dimmer switch</t>
  </si>
  <si>
    <t>254212</t>
  </si>
  <si>
    <t>Pressure Switch, 60 psi</t>
  </si>
  <si>
    <t>77025-0000600-21</t>
  </si>
  <si>
    <t>Valve Air</t>
  </si>
  <si>
    <t>Sender, Air Pressure</t>
  </si>
  <si>
    <t>358855</t>
  </si>
  <si>
    <t>Transducer, Pressure E-Stroke 100 psi</t>
  </si>
  <si>
    <t>MGM BRAKES</t>
  </si>
  <si>
    <t>8090550</t>
  </si>
  <si>
    <t>Plate, Rear Brake Valves</t>
  </si>
  <si>
    <t>581579</t>
  </si>
  <si>
    <t>Valve Assembly, Traction Control 24V</t>
  </si>
  <si>
    <t>430036</t>
  </si>
  <si>
    <t>Spacer Plate</t>
  </si>
  <si>
    <t>495608</t>
  </si>
  <si>
    <t>228742</t>
  </si>
  <si>
    <t>Valve, 90° 1/2" MPT x 1/2" FPT Single Check</t>
  </si>
  <si>
    <t>495556</t>
  </si>
  <si>
    <t>Transducer, Pressure  (Front, Rear tank)</t>
  </si>
  <si>
    <t>Valve Assembly, Safety ST-1 (Wet tank)</t>
  </si>
  <si>
    <t>5940039</t>
  </si>
  <si>
    <t>Instrument Panel, Lettered</t>
  </si>
  <si>
    <t>586716</t>
  </si>
  <si>
    <t>Screw, PH Cross Recess SST #8 - 32 UNC x 3/4" Lg.</t>
  </si>
  <si>
    <t>14S98012</t>
  </si>
  <si>
    <t>Panel Light Dimmer Assembly, (Incl. 21…25)</t>
  </si>
  <si>
    <t>POSITRON CORP</t>
  </si>
  <si>
    <t>N598467</t>
  </si>
  <si>
    <t>Control, Mechanism</t>
  </si>
  <si>
    <t>Knob, Defrost Switch</t>
  </si>
  <si>
    <t>MOBILE CLIMATE CONTROL</t>
  </si>
  <si>
    <t>56-0112</t>
  </si>
  <si>
    <t>Switch, Master 7 Prong</t>
  </si>
  <si>
    <t>5951270</t>
  </si>
  <si>
    <t>Switch, Push Button (Start Button)</t>
  </si>
  <si>
    <t>449400</t>
  </si>
  <si>
    <t>Light, Indicator</t>
  </si>
  <si>
    <t>8112123</t>
  </si>
  <si>
    <t>Knob, Master Switch</t>
  </si>
  <si>
    <t>13318</t>
  </si>
  <si>
    <t>*066000945</t>
  </si>
  <si>
    <t>Handle, Concealed Pull</t>
  </si>
  <si>
    <t>ALLEGIS CORPORATION</t>
  </si>
  <si>
    <t>67-45</t>
  </si>
  <si>
    <t>Lamp Assembly, 12V Green (Incl. 21...23)</t>
  </si>
  <si>
    <t>103030</t>
  </si>
  <si>
    <t>Backlite, Side Console</t>
  </si>
  <si>
    <t>N554125</t>
  </si>
  <si>
    <t>Valve Assembly, Parking Brake Control</t>
  </si>
  <si>
    <t>5963962</t>
  </si>
  <si>
    <t>Valve Assembly, Rotary Dump</t>
  </si>
  <si>
    <t>UDM230-01S-B-A1</t>
  </si>
  <si>
    <t>Spacer, Battery</t>
  </si>
  <si>
    <t>437799</t>
  </si>
  <si>
    <t>391850</t>
  </si>
  <si>
    <t>Roller, 1 3/4" Dia.</t>
  </si>
  <si>
    <t>HARDER MACHINE SHOP</t>
  </si>
  <si>
    <t>Bushing, Flanged Nylon</t>
  </si>
  <si>
    <t>033877</t>
  </si>
  <si>
    <t>Bolt shoulder battery Roller- (OEM Only)</t>
  </si>
  <si>
    <t>8410601</t>
  </si>
  <si>
    <t>Washer, Flat SST 3/8"</t>
  </si>
  <si>
    <t>50W06000</t>
  </si>
  <si>
    <t>Bracket Assembly, Cable</t>
  </si>
  <si>
    <t>392283</t>
  </si>
  <si>
    <t>Power Cable, 12V Battery to Disconnect Switch PS3PC</t>
  </si>
  <si>
    <t>590684</t>
  </si>
  <si>
    <t>Power Cable, 24V Battery to Disconnect Switch PS29PC</t>
  </si>
  <si>
    <t>590685</t>
  </si>
  <si>
    <t>Power Cable, Battery Ground to Groundpoint Battery PS12PC</t>
  </si>
  <si>
    <t>550582</t>
  </si>
  <si>
    <t>Nut, 3/8" Maintenance Free</t>
  </si>
  <si>
    <t>274089</t>
  </si>
  <si>
    <t>Battery Track Cable Installation</t>
  </si>
  <si>
    <t>392091</t>
  </si>
  <si>
    <t>Lamp Assembly, LED</t>
  </si>
  <si>
    <t>379015</t>
  </si>
  <si>
    <t>Lamp Assembly, Engine Compartment</t>
  </si>
  <si>
    <t>351956</t>
  </si>
  <si>
    <t>Service Assembly Led Light</t>
  </si>
  <si>
    <t>330985</t>
  </si>
  <si>
    <t>Relay, Assembly Fusebox</t>
  </si>
  <si>
    <t>590557</t>
  </si>
  <si>
    <t>Governor support plate</t>
  </si>
  <si>
    <t>444089</t>
  </si>
  <si>
    <t>Power Cable Starter to Ground</t>
  </si>
  <si>
    <t>510115</t>
  </si>
  <si>
    <t xml:space="preserve">Power Cable Relay to Starter </t>
  </si>
  <si>
    <t>510114</t>
  </si>
  <si>
    <t>Power Cable Fusebox to Starter</t>
  </si>
  <si>
    <t>583606</t>
  </si>
  <si>
    <t>Gauge, Can Communicator</t>
  </si>
  <si>
    <t>7-743-082</t>
  </si>
  <si>
    <t>Switch, Push Button (Start Button Driver Area)</t>
  </si>
  <si>
    <t>Gasket, Switch Box</t>
  </si>
  <si>
    <t>356948</t>
  </si>
  <si>
    <t xml:space="preserve">License Plate LED Light </t>
  </si>
  <si>
    <t>536455</t>
  </si>
  <si>
    <t>Decal Reflective center</t>
  </si>
  <si>
    <t>INTERGRAPHICS DECAL LIMITED</t>
  </si>
  <si>
    <t>288418</t>
  </si>
  <si>
    <t>ADA Lights (WheelChair)</t>
  </si>
  <si>
    <t>512298</t>
  </si>
  <si>
    <t>Belt</t>
  </si>
  <si>
    <t>GATES</t>
  </si>
  <si>
    <t>2/5VX850</t>
  </si>
  <si>
    <t>Roller</t>
  </si>
  <si>
    <t>26-32BDIX</t>
  </si>
  <si>
    <t>Turnbuckle 5/8" -18 UNF</t>
  </si>
  <si>
    <t>276010</t>
  </si>
  <si>
    <t>Pump Assy.</t>
  </si>
  <si>
    <t>16601091</t>
  </si>
  <si>
    <t>Ramp Assy.</t>
  </si>
  <si>
    <t>524113</t>
  </si>
  <si>
    <t>Hose Assy. 10.13 inch</t>
  </si>
  <si>
    <t>Hose Assy. 13.06 inch</t>
  </si>
  <si>
    <t xml:space="preserve">Clyinder:Wheelchair,Ramp </t>
  </si>
  <si>
    <t>354758</t>
  </si>
  <si>
    <t>Strap,Wheelchair,Ramp</t>
  </si>
  <si>
    <t>033945</t>
  </si>
  <si>
    <t xml:space="preserve">Cover assembly 32 inch  </t>
  </si>
  <si>
    <t>Rubber close out plate</t>
  </si>
  <si>
    <t>507393</t>
  </si>
  <si>
    <t>Screw FH Cross Recess SS # 10</t>
  </si>
  <si>
    <t>10S00012</t>
  </si>
  <si>
    <t>Pivot Ramp Assembly, LH</t>
  </si>
  <si>
    <t>354445</t>
  </si>
  <si>
    <t>Pivot Ramp Assembly, RH</t>
  </si>
  <si>
    <t>354449</t>
  </si>
  <si>
    <t>Sprocket, 3/16" Keyway x .53" Lg.</t>
  </si>
  <si>
    <t>354766</t>
  </si>
  <si>
    <t>Wheelchair spacer 1.25" Odx .285" Thk</t>
  </si>
  <si>
    <t>473108</t>
  </si>
  <si>
    <t xml:space="preserve">Wheelchair chain Link </t>
  </si>
  <si>
    <t>Link:Off Set Wheelchair</t>
  </si>
  <si>
    <t>WMATA KIT P/N: 999-70-0141 - KIT, SMALL UNITS HOMT-AFC</t>
  </si>
  <si>
    <t>Solenoid, BVA 12V</t>
  </si>
  <si>
    <t>5009971 OEM/ 801854 AFT</t>
  </si>
  <si>
    <t>Connector, 3/8" O.D. x 1/4" MPT</t>
  </si>
  <si>
    <t>1468-6B</t>
  </si>
  <si>
    <t>Valve Assembly, Modulator 24V</t>
  </si>
  <si>
    <t>MERITOR INC</t>
  </si>
  <si>
    <t>Accelerator Assembly, Electronic</t>
  </si>
  <si>
    <t>WILLIAMS CONTROLS INC</t>
  </si>
  <si>
    <t>400454</t>
  </si>
  <si>
    <t>Brake Treadle &amp; Plate Assembly</t>
  </si>
  <si>
    <t>107915</t>
  </si>
  <si>
    <t>Strainer, Air</t>
  </si>
  <si>
    <t>56010311-00</t>
  </si>
  <si>
    <t>Valve, Pressure Reducing 70 psi RV-3</t>
  </si>
  <si>
    <t>101845</t>
  </si>
  <si>
    <t>Valve, Single Check</t>
  </si>
  <si>
    <t>ASSEMBLY, VALVE: LOCATION: FRONT, TYPE: AIR, USED FOR: KNEELING</t>
  </si>
  <si>
    <t>MCE11164</t>
  </si>
  <si>
    <t>3/8 Bulkhead Connector</t>
  </si>
  <si>
    <t>207ACBH-6</t>
  </si>
  <si>
    <t>Valve Assembly, Quick Release (Metal Only) 3/8 x 3/8 x 3/8 used in front air</t>
  </si>
  <si>
    <t>Valve, R-14 Relay</t>
  </si>
  <si>
    <t>106159 w/brkt 296007</t>
  </si>
  <si>
    <t>Valve, SR-7 Spring Brake Control</t>
  </si>
  <si>
    <t>K021296 OEG# K021557 AM#</t>
  </si>
  <si>
    <t>1/4 Bulkhead Connector</t>
  </si>
  <si>
    <t>1495B-S</t>
  </si>
  <si>
    <t>Valve Assembly, Quick Release Large Hole</t>
  </si>
  <si>
    <t>Shift Selector</t>
  </si>
  <si>
    <t>29551556</t>
  </si>
  <si>
    <t>Switch, Wiper Control</t>
  </si>
  <si>
    <t>E-003-102</t>
  </si>
  <si>
    <t>Switch, Toggle SPDT Maintained On-Maintained Off-Momentary On</t>
  </si>
  <si>
    <t>6FC58-78-XNEW1</t>
  </si>
  <si>
    <t>Switch, Drivers Heater/Defroster</t>
  </si>
  <si>
    <t>25-0044</t>
  </si>
  <si>
    <t>Potentiometer, Temperature</t>
  </si>
  <si>
    <t>35-0974</t>
  </si>
  <si>
    <t>Potentiometer, Air</t>
  </si>
  <si>
    <t>35-0975</t>
  </si>
  <si>
    <t>Guard, Switch</t>
  </si>
  <si>
    <t>TG-00002</t>
  </si>
  <si>
    <t>Switch Driver Heat Dash</t>
  </si>
  <si>
    <t>Knob, Switch</t>
  </si>
  <si>
    <t>25-2685</t>
  </si>
  <si>
    <t>Switch, Remote Mirror</t>
  </si>
  <si>
    <t>LUCERIX INTERNATIONAL CORP</t>
  </si>
  <si>
    <t>50.165.00</t>
  </si>
  <si>
    <t>Valve Assembly, Emergency Brake Release</t>
  </si>
  <si>
    <t>281481</t>
  </si>
  <si>
    <t>Controller Door Assy.</t>
  </si>
  <si>
    <t>59430442-00</t>
  </si>
  <si>
    <t>Regulator, Voltage</t>
  </si>
  <si>
    <t>590567</t>
  </si>
  <si>
    <t>NIEHOFF</t>
  </si>
  <si>
    <t>A2-377</t>
  </si>
  <si>
    <t>Mount, Center Bonded (rubber)</t>
  </si>
  <si>
    <t>Lamp, LED Amber 12V</t>
  </si>
  <si>
    <t>WAY47664</t>
  </si>
  <si>
    <t>CH8497K7</t>
  </si>
  <si>
    <t>Switch, SPST WP Maintain</t>
  </si>
  <si>
    <t>1TL1-2</t>
  </si>
  <si>
    <t>Switch, SPST Moment</t>
  </si>
  <si>
    <t>1TL1-6</t>
  </si>
  <si>
    <t>Switch, Toggle SPDT Maintained On-Off-On</t>
  </si>
  <si>
    <t>NEWARK</t>
  </si>
  <si>
    <t>1TL1-1</t>
  </si>
  <si>
    <t>Lamp Assembly, Clearance Rear Red LED 12V</t>
  </si>
  <si>
    <t>DIALIGHT CORPORATION</t>
  </si>
  <si>
    <t>45001RB808</t>
  </si>
  <si>
    <t>Lamp Assembly, Clearance Side Amber LED 12V</t>
  </si>
  <si>
    <t>45001AB808</t>
  </si>
  <si>
    <t>Light Emitting Diode Back Up Lamp with Grommet</t>
  </si>
  <si>
    <t>46121CB834</t>
  </si>
  <si>
    <t>Kneeling Light Amber 2 1/2 lamp</t>
  </si>
  <si>
    <t>17001AB807</t>
  </si>
  <si>
    <t>Side Turn Signal (Amber)</t>
  </si>
  <si>
    <t>18001AB821</t>
  </si>
  <si>
    <t>Rear Turn Signal (Amber) with Grommet</t>
  </si>
  <si>
    <t>46121AB821</t>
  </si>
  <si>
    <t>Lamp Assembly, Clearance Front Amber LED 12V</t>
  </si>
  <si>
    <t>20001AB804</t>
  </si>
  <si>
    <t>Rear Strip Light (Red)</t>
  </si>
  <si>
    <t>87121RB810</t>
  </si>
  <si>
    <t>Rear Stop Lamps (Red) with Grommet</t>
  </si>
  <si>
    <t>46121RB848</t>
  </si>
  <si>
    <t>Rear Round Corner lamp (Red) with Grommet</t>
  </si>
  <si>
    <t>16001RB804</t>
  </si>
  <si>
    <t>Corning Lights Clear (4" inch) with Grommet</t>
  </si>
  <si>
    <t>46121CB833</t>
  </si>
  <si>
    <t>Rear Upper Turn Signal Lights (Amber) with Grommet</t>
  </si>
  <si>
    <t>68121AB801</t>
  </si>
  <si>
    <t>Lamp Gasket</t>
  </si>
  <si>
    <t>91804A</t>
  </si>
  <si>
    <t xml:space="preserve">Lamp Guard </t>
  </si>
  <si>
    <t>91802A</t>
  </si>
  <si>
    <t>Lamp Assembly, Strip White LED 18"</t>
  </si>
  <si>
    <t>VSL-CC-17B-35-805</t>
  </si>
  <si>
    <t>Rear Step lights / Farebox Light LED</t>
  </si>
  <si>
    <t>17081CB804</t>
  </si>
  <si>
    <t>Right Hand Rods Ends 5/8"</t>
  </si>
  <si>
    <t>ALINABAL INC</t>
  </si>
  <si>
    <t>VFL-10-G</t>
  </si>
  <si>
    <t>Left Hand Rods Ends 5/8"</t>
  </si>
  <si>
    <t>VF-10-G</t>
  </si>
  <si>
    <t>Drier</t>
  </si>
  <si>
    <t>THERMO KING CORPORATION</t>
  </si>
  <si>
    <t>61-600</t>
  </si>
  <si>
    <t>Polyol Ester Oil</t>
  </si>
  <si>
    <t>203-513</t>
  </si>
  <si>
    <t>O-ring</t>
  </si>
  <si>
    <t>33-1221</t>
  </si>
  <si>
    <t>Clutch Kit (New style)</t>
  </si>
  <si>
    <t>107-415</t>
  </si>
  <si>
    <t>HVAC Heater Valve</t>
  </si>
  <si>
    <t>46-0047</t>
  </si>
  <si>
    <t>Valve Kit</t>
  </si>
  <si>
    <t>TRUCK REFRIGERATION REPAIR INC</t>
  </si>
  <si>
    <t>60-302</t>
  </si>
  <si>
    <t>Spout</t>
  </si>
  <si>
    <t>66-1273</t>
  </si>
  <si>
    <t>HVAC Filter Dacron</t>
  </si>
  <si>
    <t>23-0707</t>
  </si>
  <si>
    <t>HVAC Filter Defrostor</t>
  </si>
  <si>
    <t>Thermo King Chesapeake, Inc.</t>
  </si>
  <si>
    <t>Floor Heater Filter</t>
  </si>
  <si>
    <t>26-1693</t>
  </si>
  <si>
    <t>Switch-STDT SLD MOM2</t>
  </si>
  <si>
    <t>6FC54-78-XNEW1</t>
  </si>
  <si>
    <t>Sensor, Proimity:</t>
  </si>
  <si>
    <t>IFM EFECTOR INC</t>
  </si>
  <si>
    <t>IFS 206</t>
  </si>
  <si>
    <t>Key Square 3/16 x 3/4</t>
  </si>
  <si>
    <t>MCMASTER CARR SUPPLY CO</t>
  </si>
  <si>
    <t>98870A130</t>
  </si>
  <si>
    <t>Washer, Thrust 5/8" x 1" x 1/16"</t>
  </si>
  <si>
    <t>5906K515</t>
  </si>
  <si>
    <t>Front Door: Operator Assembly -OEM Only</t>
  </si>
  <si>
    <t>50346397-14</t>
  </si>
  <si>
    <t>Rear Door: Operator Assembly -OEM Only</t>
  </si>
  <si>
    <t>50646436-16</t>
  </si>
  <si>
    <t>Fitting, Pipe with Brass Bushing 1/4"</t>
  </si>
  <si>
    <t>99126103-06</t>
  </si>
  <si>
    <t>Valve,Magnetic:Cylinder Door Entry</t>
  </si>
  <si>
    <t>59320139-03</t>
  </si>
  <si>
    <t>Door Mag Fitting 1/4</t>
  </si>
  <si>
    <t>99126103-20</t>
  </si>
  <si>
    <t>50626268-00</t>
  </si>
  <si>
    <t>Switch, Pressure Entrance Door</t>
  </si>
  <si>
    <t>57410568-00</t>
  </si>
  <si>
    <t>Wiper Motor and Bracket assy. Curbside</t>
  </si>
  <si>
    <t>E-005-773</t>
  </si>
  <si>
    <t>Wiper Motor and Bracket assy. Streetside</t>
  </si>
  <si>
    <t>E-005-772</t>
  </si>
  <si>
    <t>Spanner Nut Lock</t>
  </si>
  <si>
    <t>S-2202-P</t>
  </si>
  <si>
    <t>Wiper Windshield Outer Spacer</t>
  </si>
  <si>
    <t>GS-1949-7</t>
  </si>
  <si>
    <t>Gasket, Outer Spacer</t>
  </si>
  <si>
    <t>S-2649</t>
  </si>
  <si>
    <t>WMATA KIT P/N :999-70-0131 - KIT, SMALL UNITS SS-CTF</t>
  </si>
  <si>
    <t>CENTER LINK ASSY</t>
  </si>
  <si>
    <t>6344747</t>
  </si>
  <si>
    <t>CALIPER ASSY,R/S</t>
  </si>
  <si>
    <t>MAN Truck</t>
  </si>
  <si>
    <t>81.50804.6669</t>
  </si>
  <si>
    <t>CALIPER ASSY,C/S</t>
  </si>
  <si>
    <t>81.50804.6670</t>
  </si>
  <si>
    <t>HUB &amp;BEARING W/PULSE WHEEL</t>
  </si>
  <si>
    <t>6346288</t>
  </si>
  <si>
    <t>BOLT,M18 X 1.5X60</t>
  </si>
  <si>
    <t>6361062</t>
  </si>
  <si>
    <t>KNUCKLE REPAIR KIT</t>
  </si>
  <si>
    <t>6448630</t>
  </si>
  <si>
    <t>NUT,LOCK M58X1.5</t>
  </si>
  <si>
    <t>81.90620.0086</t>
  </si>
  <si>
    <t>BRAKE ROTOR</t>
  </si>
  <si>
    <t>81.50803.0040</t>
  </si>
  <si>
    <t>KIT,BRAKE PAD</t>
  </si>
  <si>
    <t>81.50820.6083</t>
  </si>
  <si>
    <t>ABS,SENSOR</t>
  </si>
  <si>
    <t>MERITOR</t>
  </si>
  <si>
    <t>R955342</t>
  </si>
  <si>
    <t>NUT,LOCKING M24X1.5</t>
  </si>
  <si>
    <t>6344768</t>
  </si>
  <si>
    <t>SCREW,M22 X 1.5 X 90</t>
  </si>
  <si>
    <t>6344764</t>
  </si>
  <si>
    <t>SCREW,M22 x1.5 x 75</t>
  </si>
  <si>
    <t>06.02229.0005</t>
  </si>
  <si>
    <t>WASHER, FLAT HARDENED 7/8</t>
  </si>
  <si>
    <t>20W14000</t>
  </si>
  <si>
    <t>CALIPER ASSY ,C/S</t>
  </si>
  <si>
    <t>81.50804.6651</t>
  </si>
  <si>
    <t>CALIPER ASSY ,S/S</t>
  </si>
  <si>
    <t>81.50804.6652</t>
  </si>
  <si>
    <t>DIFFERENTIAL ASSY, 4.56  RATIO</t>
  </si>
  <si>
    <t>6407901</t>
  </si>
  <si>
    <t>SCREW M16X1.5X40 Lg</t>
  </si>
  <si>
    <t>6407909</t>
  </si>
  <si>
    <t>BOLT, M18X1.5X65</t>
  </si>
  <si>
    <t>06.01494.4612</t>
  </si>
  <si>
    <t>81.50803,0041</t>
  </si>
  <si>
    <t>BRAKE CHAMBER</t>
  </si>
  <si>
    <t>MJB2424ETT60ESK</t>
  </si>
  <si>
    <t>SCREW, EXTERNAL TORX HEAD M16 X1.5 X100</t>
  </si>
  <si>
    <t>6392550</t>
  </si>
  <si>
    <t>OIL FILTER</t>
  </si>
  <si>
    <t>6411033</t>
  </si>
  <si>
    <t>BEARING ASSY HUB UNIT</t>
  </si>
  <si>
    <t>6392545</t>
  </si>
  <si>
    <t>NUT, SLOTTED M100 X1.5</t>
  </si>
  <si>
    <t>6392549</t>
  </si>
  <si>
    <t>SEAL, SHAFT</t>
  </si>
  <si>
    <t>6392547</t>
  </si>
  <si>
    <t>RADIAL SEAL, w/ABS PULSE WHEEL</t>
  </si>
  <si>
    <t>6392081</t>
  </si>
  <si>
    <t>ABS SENSOR ASSY, S/S</t>
  </si>
  <si>
    <t>6392083</t>
  </si>
  <si>
    <t>ABS SENSOR ASSY, C/S</t>
  </si>
  <si>
    <t>6392084</t>
  </si>
  <si>
    <t>Surge Tank, welded</t>
  </si>
  <si>
    <t>586453</t>
  </si>
  <si>
    <t>Tank Assy., Coolant Recovery</t>
  </si>
  <si>
    <t>071396AE</t>
  </si>
  <si>
    <t>Clamp, "P" .625" SST/HT</t>
  </si>
  <si>
    <t>092585</t>
  </si>
  <si>
    <t>Clamp,Hose 0.56" Dia. - 1.06" Dia</t>
  </si>
  <si>
    <t>Screw, PH Cross Recess #10 - 24 UNCx3/4" LG.</t>
  </si>
  <si>
    <t>26S00012</t>
  </si>
  <si>
    <t>Hose, Silicone 9mm 13" Long</t>
  </si>
  <si>
    <t>Nut, Lock Nylon #10 SST</t>
  </si>
  <si>
    <t>42N00000</t>
  </si>
  <si>
    <t>Sensor, Low Coolant</t>
  </si>
  <si>
    <t>FOZMULA</t>
  </si>
  <si>
    <t>S265/202</t>
  </si>
  <si>
    <t>Washer, Flat #10 SST</t>
  </si>
  <si>
    <t>50W00000</t>
  </si>
  <si>
    <t>Gauge, Coolant Level</t>
  </si>
  <si>
    <t>563108</t>
  </si>
  <si>
    <t>Plug, Hex Head 1/2" MPT</t>
  </si>
  <si>
    <t>G444832</t>
  </si>
  <si>
    <t>218P-8</t>
  </si>
  <si>
    <t>WMATA KIT P/N: 999-70-0142 -KIT, SMALL UNITS SS-CTF</t>
  </si>
  <si>
    <t>BRAKE CHAMBER  C/S</t>
  </si>
  <si>
    <t>MGM1621707ESK</t>
  </si>
  <si>
    <t>BRAKE CHAMBER  R/S</t>
  </si>
  <si>
    <t>MGM1621708ESK</t>
  </si>
  <si>
    <t>Pressure Cap Assembly, Surge Tank 18psi</t>
  </si>
  <si>
    <t>STANT USA CORP</t>
  </si>
  <si>
    <t>10334</t>
  </si>
  <si>
    <t>Fitting, Barged 1/4" MPT x 3/8"I.D.</t>
  </si>
  <si>
    <t>Elbow, 90 Barb Hose 1/4"NPTx3/8"I.D.</t>
  </si>
  <si>
    <t>129HB-6-4</t>
  </si>
  <si>
    <t>Sensor, Coolant Level Indicator</t>
  </si>
  <si>
    <t>CASCO PRODUCTS CORP</t>
  </si>
  <si>
    <t>1035100007-001</t>
  </si>
  <si>
    <t>Tee, Street 1/4" PT</t>
  </si>
  <si>
    <t>X107-B</t>
  </si>
  <si>
    <t>Adapter, 1/4" NPTx3/8" JIC Brass</t>
  </si>
  <si>
    <t>6 FTX-B</t>
  </si>
  <si>
    <t>Elbow, 45 1/4" NPTx1/4"FPT Brass</t>
  </si>
  <si>
    <t>Alternator</t>
  </si>
  <si>
    <t>315330</t>
  </si>
  <si>
    <t>C803D</t>
  </si>
  <si>
    <t>Pulley, 8 Groove</t>
  </si>
  <si>
    <t>130004</t>
  </si>
  <si>
    <t>A3-228</t>
  </si>
  <si>
    <t>Washer, Lock 10 I.D. X 16 O.D. X 2.5mm THK.</t>
  </si>
  <si>
    <t>6352622</t>
  </si>
  <si>
    <t>A9-832</t>
  </si>
  <si>
    <t>Washer, Flat . 41" I.D. x .80" O.D. x .06" THK.</t>
  </si>
  <si>
    <t>6358793</t>
  </si>
  <si>
    <t>A9-500</t>
  </si>
  <si>
    <t>Screw,Hex Flange Head Cup M10x1.50x60</t>
  </si>
  <si>
    <t>6358795</t>
  </si>
  <si>
    <t>A9-647</t>
  </si>
  <si>
    <t>Tensioner, Belt</t>
  </si>
  <si>
    <t>Bolt, Hex Flange Head Cap M10x1.50x85</t>
  </si>
  <si>
    <t>3282433</t>
  </si>
  <si>
    <t>Pulley, Idler</t>
  </si>
  <si>
    <t>4991240</t>
  </si>
  <si>
    <t>3900635</t>
  </si>
  <si>
    <t xml:space="preserve">Shield, Dust </t>
  </si>
  <si>
    <t>3921533</t>
  </si>
  <si>
    <t>Shaft, Idler</t>
  </si>
  <si>
    <t>3935229</t>
  </si>
  <si>
    <t>Belt, Alternator</t>
  </si>
  <si>
    <t>K080514</t>
  </si>
  <si>
    <t>WMATA KIT P/N: 999-70-0132 - KIT, ENGINE NOW CPL 4526 SS-CTF</t>
  </si>
  <si>
    <t>Ignition Coils</t>
  </si>
  <si>
    <t>Harness Wiring</t>
  </si>
  <si>
    <t>Kit Exh RCN Valve</t>
  </si>
  <si>
    <t>Rod, Engine Connecting</t>
  </si>
  <si>
    <t>5271843NX*</t>
  </si>
  <si>
    <t>Lubricating oil pump</t>
  </si>
  <si>
    <t>Cam followers block plug</t>
  </si>
  <si>
    <t>Set, Main Bearings</t>
  </si>
  <si>
    <t>EGR Cooler Kit</t>
  </si>
  <si>
    <t>Thermostat</t>
  </si>
  <si>
    <t>5274349*</t>
  </si>
  <si>
    <t>Vibration Damper</t>
  </si>
  <si>
    <t>Water Pump</t>
  </si>
  <si>
    <t>Oil and Coolant Temp Sensor</t>
  </si>
  <si>
    <t>4954905*</t>
  </si>
  <si>
    <t>Position Sensor Cam</t>
  </si>
  <si>
    <t>5594276*</t>
  </si>
  <si>
    <t>5594275*</t>
  </si>
  <si>
    <t>Oil / Fuel Pressure Switch</t>
  </si>
  <si>
    <t>Ambient Air Pres Temp Sensor</t>
  </si>
  <si>
    <t>2897332*</t>
  </si>
  <si>
    <t>Intake Manifold Temp Sensor</t>
  </si>
  <si>
    <t>Intake Manifold Pressure Sensor</t>
  </si>
  <si>
    <t>Fuel Pressure Sensor</t>
  </si>
  <si>
    <t>Fuel Shut off Valve</t>
  </si>
  <si>
    <t>Air Control Valve</t>
  </si>
  <si>
    <t>Exhaust Gas Pressure Sensor</t>
  </si>
  <si>
    <t>Exhaust Gas Temperture Sensor</t>
  </si>
  <si>
    <t>Actuator</t>
  </si>
  <si>
    <t>Pressure Regulator Valve</t>
  </si>
  <si>
    <t>EGR Pressure Differ Sensor</t>
  </si>
  <si>
    <t>Breather</t>
  </si>
  <si>
    <t>Breather Tube</t>
  </si>
  <si>
    <t>Oil pressure Sensor</t>
  </si>
  <si>
    <t>Steel Piston Kit</t>
  </si>
  <si>
    <t>CYLINDER, HEAD</t>
  </si>
  <si>
    <t>5569421RX</t>
  </si>
  <si>
    <t>Intake and Exhaust rocker assy</t>
  </si>
  <si>
    <t>Inlet Coolant Line</t>
  </si>
  <si>
    <t>Outlet Coolant Line</t>
  </si>
  <si>
    <t>Oxygen Sensor</t>
  </si>
  <si>
    <t>5400509*</t>
  </si>
  <si>
    <t>Tappets</t>
  </si>
  <si>
    <t>Cam Bushings</t>
  </si>
  <si>
    <t xml:space="preserve">Warranty NOW KIT (CPL: 4526) </t>
  </si>
  <si>
    <t>WMATA KIT P/N: 801-70-0006 -ENGINE ISLG RECON</t>
  </si>
  <si>
    <t>Offeror to complete this section</t>
  </si>
  <si>
    <t xml:space="preserve">Reman Engine ISG CPL: 4526 </t>
  </si>
  <si>
    <t>DR7715WMATA</t>
  </si>
  <si>
    <t>Engines listed above are required to support the 2015-16 NF XN40 (SR1947: 2830-2993) Bus Midlife Overhaul at HOMT AFC. 
Note: BOM subject to change after installation on PILOT Buses and thereafter, as required.</t>
  </si>
  <si>
    <t>WMATA KIT P/N: 822-72-05663 - ENGINE COOLING MODULE</t>
  </si>
  <si>
    <t>ENGINE COOLING MODULE</t>
  </si>
  <si>
    <t>MODINE MANUFACTURING</t>
  </si>
  <si>
    <t>1A219460001</t>
  </si>
  <si>
    <t>Modules listed above are required to support the 2015-16 NF XN40 (SR1947: 2830-2993) Bus Midlife Overhaul at HOMT AFC. 
Note: BOM subject to change after installation on PILOT Buses and thereafter, as required.</t>
  </si>
  <si>
    <t>WMATA KIT P/N: 906-72-0624 - KIT, TRANSMISSION ALLISON B400R SS-CTF</t>
  </si>
  <si>
    <t xml:space="preserve">ALLISON </t>
  </si>
  <si>
    <t>29552373 / 29561880</t>
  </si>
  <si>
    <t>Plate,piston return</t>
  </si>
  <si>
    <t>Bearing,thrust</t>
  </si>
  <si>
    <t>Seal</t>
  </si>
  <si>
    <t>Bushing</t>
  </si>
  <si>
    <t>Bearing</t>
  </si>
  <si>
    <t>Seal kit</t>
  </si>
  <si>
    <t>Spring</t>
  </si>
  <si>
    <t>Washer,P1 thrust</t>
  </si>
  <si>
    <t>Seal ring kit</t>
  </si>
  <si>
    <t>Plate,C3,C4 reaction</t>
  </si>
  <si>
    <t>Plate,C5</t>
  </si>
  <si>
    <t xml:space="preserve">C3,C4 friction plate </t>
  </si>
  <si>
    <t xml:space="preserve">C5 friction plate </t>
  </si>
  <si>
    <t>fill tube seal</t>
  </si>
  <si>
    <t>Washer,P2 thrust</t>
  </si>
  <si>
    <t>Bushing,converter</t>
  </si>
  <si>
    <t>Seal ring</t>
  </si>
  <si>
    <t>Bearing,thrust No. 2</t>
  </si>
  <si>
    <t>Bearing,thrust pump</t>
  </si>
  <si>
    <t>O ring</t>
  </si>
  <si>
    <t xml:space="preserve">O ring </t>
  </si>
  <si>
    <t>Seal Ring</t>
  </si>
  <si>
    <t>Plate, C1 friction</t>
  </si>
  <si>
    <t>Plate, C2 friction</t>
  </si>
  <si>
    <t>Sensor,Speed</t>
  </si>
  <si>
    <t>Gasket, Converter</t>
  </si>
  <si>
    <t>Retarder ,Gasket</t>
  </si>
  <si>
    <t>Washer,P3 thrust</t>
  </si>
  <si>
    <t>Cup</t>
  </si>
  <si>
    <t>Seal ring, Rotating</t>
  </si>
  <si>
    <t>Gasket,Retarder housing</t>
  </si>
  <si>
    <t>Sensor,Temp</t>
  </si>
  <si>
    <t>Gasket, Retarder housing</t>
  </si>
  <si>
    <t>Spring,Retarder</t>
  </si>
  <si>
    <t>O ring, retarder valve</t>
  </si>
  <si>
    <t>Nut,Retainer</t>
  </si>
  <si>
    <t>Plate, retarder Seperator</t>
  </si>
  <si>
    <t>Out put seal</t>
  </si>
  <si>
    <t>29540989 / 29556870</t>
  </si>
  <si>
    <t>Filter assembly</t>
  </si>
  <si>
    <t>Internal Harness</t>
  </si>
  <si>
    <t>Spring,Accumulator</t>
  </si>
  <si>
    <t xml:space="preserve">Spring,trim </t>
  </si>
  <si>
    <t>Spring,diagnostic</t>
  </si>
  <si>
    <t>Solenoid Black</t>
  </si>
  <si>
    <t>Solenoid, Brown</t>
  </si>
  <si>
    <t>Solenoid</t>
  </si>
  <si>
    <t>Speed sensor</t>
  </si>
  <si>
    <t>Switch,pressure switch</t>
  </si>
  <si>
    <t>Switch</t>
  </si>
  <si>
    <t>Spring,Lock up</t>
  </si>
  <si>
    <t>Spring, lube regulator</t>
  </si>
  <si>
    <t>Spring, Main regulator</t>
  </si>
  <si>
    <t>Spring, Control main</t>
  </si>
  <si>
    <t>Spring, C1, C2 Latch</t>
  </si>
  <si>
    <t>Spring, Exhaust</t>
  </si>
  <si>
    <t>Spring, Converter regulator</t>
  </si>
  <si>
    <t>O Ring front support</t>
  </si>
  <si>
    <t>Spring, Filter life</t>
  </si>
  <si>
    <t>Sensor, oil level</t>
  </si>
  <si>
    <t>Damper (29544144) PAF?</t>
  </si>
  <si>
    <t>Gasket set ( O rings, gaskets)</t>
  </si>
  <si>
    <t>stator roller</t>
  </si>
  <si>
    <t>Spring,stator</t>
  </si>
  <si>
    <t>P3 Indexing Ring</t>
  </si>
  <si>
    <t>P2 Indexing Ring</t>
  </si>
  <si>
    <t>P1 Indexing Ring</t>
  </si>
  <si>
    <t xml:space="preserve">Ring, External Retaining </t>
  </si>
  <si>
    <t>Retaining Plate</t>
  </si>
  <si>
    <t xml:space="preserve">O ring, retarder </t>
  </si>
  <si>
    <t>WMATA KIT P/N: 999-46-0005 - KIT, FAREBOX SHOP SS-CTF</t>
  </si>
  <si>
    <t>FILTER,FAREBOX:DATA PROBE</t>
  </si>
  <si>
    <t>GENFARE</t>
  </si>
  <si>
    <t>A00157-0001</t>
  </si>
  <si>
    <t>GASKET,FAREBOX:ESCUTCHEON DATA PORT</t>
  </si>
  <si>
    <t>B01461-0001</t>
  </si>
  <si>
    <t>CABLE:COMMUNICATION &amp; POWER</t>
  </si>
  <si>
    <t>B22265-0001</t>
  </si>
  <si>
    <t>SPEAKER:FAREBOX</t>
  </si>
  <si>
    <t>B22271-0001</t>
  </si>
  <si>
    <t>BILL ACCEPTOR:FAREBOX</t>
  </si>
  <si>
    <t>C26300-0001</t>
  </si>
  <si>
    <t>CUP:COIN INSERTION</t>
  </si>
  <si>
    <t>B22708-KIT</t>
  </si>
  <si>
    <t>CORD,COMMUNICATION:RIBBON</t>
  </si>
  <si>
    <t>C22290-0001</t>
  </si>
  <si>
    <t>CABLE,FAREBOX:BILL VALIDATOR</t>
  </si>
  <si>
    <t>C22292-0007</t>
  </si>
  <si>
    <t>HARNESS,WIRING:</t>
  </si>
  <si>
    <t>C22294-0002</t>
  </si>
  <si>
    <t>COVER:DISPLAY</t>
  </si>
  <si>
    <t>C22494-0003</t>
  </si>
  <si>
    <t>BOARD,PRINTED CIRCUIT:POWER DC/DC CONVERTER,12VDC</t>
  </si>
  <si>
    <t>C22807-0007</t>
  </si>
  <si>
    <t>LABEL:COVER,FAREBOX</t>
  </si>
  <si>
    <t>C23911-SET</t>
  </si>
  <si>
    <t>COIN ACCEPTOR:FAREBOX</t>
  </si>
  <si>
    <t>C23931-1927P</t>
  </si>
  <si>
    <t>BOARD,PRINTED CIRCUIT:CASHBOX BATTERY</t>
  </si>
  <si>
    <t>D03825-0001</t>
  </si>
  <si>
    <t>MOTHER BOARD</t>
  </si>
  <si>
    <t>D21149-2006</t>
  </si>
  <si>
    <t>LOCK:ELECTRONIC</t>
  </si>
  <si>
    <t>D22146-0003</t>
  </si>
  <si>
    <t>UNIT:OPERATOR CONTROL  ( NEW)</t>
  </si>
  <si>
    <t>D31000-0001</t>
  </si>
  <si>
    <t>TRANSPORT, BILL:</t>
  </si>
  <si>
    <t>D23696-0004</t>
  </si>
  <si>
    <t>CUP:COIN RETURN ASSEMBLY</t>
  </si>
  <si>
    <t>C22340-0005</t>
  </si>
  <si>
    <t>CABLE:TRI-READER</t>
  </si>
  <si>
    <t>C23664-0001</t>
  </si>
  <si>
    <t>WINDOW,FAREBOX:DATA PROBE</t>
  </si>
  <si>
    <t>A00156-0003</t>
  </si>
  <si>
    <t>ESCUTCHEON:FAREBOX DATA PROBE</t>
  </si>
  <si>
    <t>C01459-0001</t>
  </si>
  <si>
    <t>PIN,FAREBOX:SPIRAL,0.156 X 1</t>
  </si>
  <si>
    <t>A00262-L120</t>
  </si>
  <si>
    <t>BAR:LOCKING,THE ODYSSEY FARE BOX</t>
  </si>
  <si>
    <t>D22122-0004</t>
  </si>
  <si>
    <t>CRADLE:BYPASS MECHANISM</t>
  </si>
  <si>
    <t>C23908-0001</t>
  </si>
  <si>
    <t>PORT:IR DATA PORT PCB PORBE PORT</t>
  </si>
  <si>
    <t>B21455-0001</t>
  </si>
  <si>
    <t>LENS PASSENGER DISPLAY ( COVER)</t>
  </si>
  <si>
    <t>B22169-0002</t>
  </si>
  <si>
    <t>NEW OCU 4FT CABLE</t>
  </si>
  <si>
    <t>C30983-1104</t>
  </si>
  <si>
    <t>RETAINING RING</t>
  </si>
  <si>
    <t>A00379-0017</t>
  </si>
  <si>
    <t>RUBBER BUMPER BUTTON</t>
  </si>
  <si>
    <t>C22068-0001</t>
  </si>
  <si>
    <t>PUSH-ON CIRCULAR RING (MISSING)</t>
  </si>
  <si>
    <t>A00251-0002</t>
  </si>
  <si>
    <t>W8 CABLE.  MB-EL CABLE (ADD)</t>
  </si>
  <si>
    <t>D22264-0001</t>
  </si>
  <si>
    <t>W7 CABLE , MB-OCU CABLE (ADD)</t>
  </si>
  <si>
    <t>B22263-0001</t>
  </si>
  <si>
    <t>WMATA P/N</t>
  </si>
  <si>
    <t>Description</t>
  </si>
  <si>
    <t>Part Number</t>
  </si>
  <si>
    <t>New Flyer</t>
  </si>
  <si>
    <t>Bulkhead</t>
  </si>
  <si>
    <t>832-66-0005</t>
  </si>
  <si>
    <t>Sensor, Oxygen</t>
  </si>
  <si>
    <t>4954893</t>
  </si>
  <si>
    <t>824-55-0136</t>
  </si>
  <si>
    <t>Clamp, Hose 5 1/2"</t>
  </si>
  <si>
    <t>Fairview Fittings</t>
  </si>
  <si>
    <t>HC19-550</t>
  </si>
  <si>
    <t>Fitting, - 4 JIC x 1/8" FPT</t>
  </si>
  <si>
    <t>4 WGTX-WLN-S</t>
  </si>
  <si>
    <t>Elbow, 90 Degree Swivel - 4 JIC</t>
  </si>
  <si>
    <t>4 C6X-S</t>
  </si>
  <si>
    <t>824-55-0117</t>
  </si>
  <si>
    <t>Clamp, Hose 5/16"</t>
  </si>
  <si>
    <t>HC6-4TB</t>
  </si>
  <si>
    <t>S3749-12D</t>
  </si>
  <si>
    <t>835-72-0321</t>
  </si>
  <si>
    <t>Tube, Nylon 5/8" Orange</t>
  </si>
  <si>
    <t>PFT-8B-ORG-500-FL</t>
  </si>
  <si>
    <t>Fitting, PTC - 8 Union Brass</t>
  </si>
  <si>
    <t>62PMT-8</t>
  </si>
  <si>
    <t>Coupler, 3/8" x 1/2"</t>
  </si>
  <si>
    <t>126-6D</t>
  </si>
  <si>
    <t>999-65-1695</t>
  </si>
  <si>
    <t>Fitting, SAE 370 JIC</t>
  </si>
  <si>
    <t>4741-6B</t>
  </si>
  <si>
    <t>835-72-0402</t>
  </si>
  <si>
    <t>Connector, 37 Degree Flare</t>
  </si>
  <si>
    <t>S3748-6C</t>
  </si>
  <si>
    <t>971-70-0019</t>
  </si>
  <si>
    <t>Booster Pump Assembly, 27V</t>
  </si>
  <si>
    <t>AMETEK</t>
  </si>
  <si>
    <t>151167-11</t>
  </si>
  <si>
    <t>Engine Build Up</t>
  </si>
  <si>
    <t>961-55-0015</t>
  </si>
  <si>
    <t>Pump Assembly, Power Steering</t>
  </si>
  <si>
    <t>MAGNA POWERTRAIN BAD HOMBURG G</t>
  </si>
  <si>
    <t>5012626</t>
  </si>
  <si>
    <t>Adapter, Tee Ext Pipe To INTL Pipe</t>
  </si>
  <si>
    <t>2092-2-2S</t>
  </si>
  <si>
    <t>986-72-0364</t>
  </si>
  <si>
    <t>Elbow, 90 Degree 3/8" O.D. x 1/8" PT</t>
  </si>
  <si>
    <t>1469-6A</t>
  </si>
  <si>
    <t>Plug, 1/8"</t>
  </si>
  <si>
    <t>S1018-A</t>
  </si>
  <si>
    <t>Body</t>
  </si>
  <si>
    <t>Shield, Modesty Panel</t>
  </si>
  <si>
    <t>NFI?? Laird Plastics</t>
  </si>
  <si>
    <t>533916</t>
  </si>
  <si>
    <t>Small Units</t>
  </si>
  <si>
    <t>986-72-0462</t>
  </si>
  <si>
    <t>Haldex Gemini MdXDual Consep</t>
  </si>
  <si>
    <t>HALDEX</t>
  </si>
  <si>
    <t>DRQ0004</t>
  </si>
  <si>
    <t>986-72-0461</t>
  </si>
  <si>
    <t>Retrofit Hardware Kit</t>
  </si>
  <si>
    <t>DRQ0005</t>
  </si>
  <si>
    <t>882-700201</t>
  </si>
  <si>
    <t>Instrument Panel</t>
  </si>
  <si>
    <r>
      <rPr>
        <b/>
        <sz val="11"/>
        <color theme="1"/>
        <rFont val="Calibri"/>
        <family val="2"/>
        <scheme val="minor"/>
      </rPr>
      <t>KIT , WMATA SR 1513-1680 HY-1336 TO HY-1350 AXLE CONVERSION PARTS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rFont val="Calibri"/>
        <family val="2"/>
        <scheme val="minor"/>
      </rPr>
      <t>NF PN 6472418 / WMATA 999720421</t>
    </r>
  </si>
  <si>
    <t>NF PN</t>
  </si>
  <si>
    <t>ASSY-REAR SPNSN BEAM SPCR</t>
  </si>
  <si>
    <t>NUT-PREV TORQUE 7/8-14</t>
  </si>
  <si>
    <t>BOLT-U REAR MAN AXLE</t>
  </si>
  <si>
    <t>ASSY-BRKT, MEMBRANE BREATHER</t>
  </si>
  <si>
    <t>ELBOW-90,BREATHER 6MM</t>
  </si>
  <si>
    <t>SCREW LOCK M12 X 40 MM LG</t>
  </si>
  <si>
    <t>34S00010</t>
  </si>
  <si>
    <t>SCREW PH CROSS RECESS TPG. TYPE  F #10  24 UNC X 5/8" LG.</t>
  </si>
  <si>
    <t>14S04024</t>
  </si>
  <si>
    <t>SCREW PH CROSS RECESS SS 1/4" 20 UNC X 1 1/2" LG.</t>
  </si>
  <si>
    <t>10W04000</t>
  </si>
  <si>
    <t>WASHER-FLAT 1/4 NOM</t>
  </si>
  <si>
    <t>10W00000</t>
  </si>
  <si>
    <t>WASHER-FLAT #10 NOM</t>
  </si>
  <si>
    <t>092578</t>
  </si>
  <si>
    <t>CLAMP-P 0.250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</si>
</sst>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gray125">
        <bgColor theme="0" tint="-4.9989318521683403E-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7" fillId="0" borderId="0"/>
  </cellStyleXfs>
  <cellXfs count="9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49" fontId="0" fillId="0" borderId="1" xfId="0" applyNumberFormat="1" applyBorder="1" applyAlignment="1">
      <alignment horizontal="right"/>
    </xf>
    <xf numFmtId="0" fontId="2" fillId="0" borderId="0" xfId="0" applyFont="1"/>
    <xf numFmtId="49" fontId="0" fillId="0" borderId="0" xfId="0" applyNumberFormat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2" fillId="2" borderId="1" xfId="0" applyFont="1" applyFill="1" applyBorder="1" applyAlignment="1">
      <alignment vertical="center"/>
    </xf>
    <xf numFmtId="1" fontId="0" fillId="3" borderId="1" xfId="0" applyNumberFormat="1" applyFill="1" applyBorder="1" applyAlignment="1">
      <alignment horizontal="left"/>
    </xf>
    <xf numFmtId="1" fontId="0" fillId="3" borderId="1" xfId="0" applyNumberFormat="1" applyFill="1" applyBorder="1" applyAlignment="1">
      <alignment horizontal="right"/>
    </xf>
    <xf numFmtId="0" fontId="0" fillId="3" borderId="1" xfId="0" applyFill="1" applyBorder="1"/>
    <xf numFmtId="1" fontId="0" fillId="0" borderId="1" xfId="0" applyNumberFormat="1" applyBorder="1" applyAlignment="1">
      <alignment horizontal="right"/>
    </xf>
    <xf numFmtId="0" fontId="0" fillId="3" borderId="0" xfId="0" applyFill="1"/>
    <xf numFmtId="0" fontId="0" fillId="3" borderId="1" xfId="0" applyFill="1" applyBorder="1" applyAlignment="1">
      <alignment horizontal="right"/>
    </xf>
    <xf numFmtId="1" fontId="0" fillId="0" borderId="1" xfId="0" applyNumberFormat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6" xfId="0" applyBorder="1"/>
    <xf numFmtId="0" fontId="4" fillId="3" borderId="1" xfId="0" applyFont="1" applyFill="1" applyBorder="1" applyAlignment="1">
      <alignment horizontal="right"/>
    </xf>
    <xf numFmtId="1" fontId="4" fillId="3" borderId="1" xfId="0" applyNumberFormat="1" applyFont="1" applyFill="1" applyBorder="1" applyAlignment="1">
      <alignment horizontal="left"/>
    </xf>
    <xf numFmtId="1" fontId="4" fillId="3" borderId="1" xfId="0" applyNumberFormat="1" applyFont="1" applyFill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1" fontId="4" fillId="0" borderId="1" xfId="0" applyNumberFormat="1" applyFont="1" applyBorder="1" applyAlignment="1">
      <alignment horizontal="right"/>
    </xf>
    <xf numFmtId="0" fontId="5" fillId="0" borderId="0" xfId="0" applyFont="1" applyAlignment="1">
      <alignment horizontal="right"/>
    </xf>
    <xf numFmtId="0" fontId="6" fillId="0" borderId="10" xfId="0" applyFont="1" applyBorder="1" applyAlignment="1">
      <alignment horizontal="right" vertical="center"/>
    </xf>
    <xf numFmtId="0" fontId="6" fillId="4" borderId="10" xfId="0" applyFont="1" applyFill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0" fillId="0" borderId="3" xfId="0" applyBorder="1" applyAlignment="1">
      <alignment horizontal="left"/>
    </xf>
    <xf numFmtId="0" fontId="6" fillId="4" borderId="1" xfId="0" applyFont="1" applyFill="1" applyBorder="1" applyAlignment="1">
      <alignment horizontal="right" vertical="center"/>
    </xf>
    <xf numFmtId="0" fontId="0" fillId="0" borderId="3" xfId="0" applyBorder="1"/>
    <xf numFmtId="0" fontId="0" fillId="0" borderId="9" xfId="0" applyBorder="1" applyAlignment="1">
      <alignment horizontal="right"/>
    </xf>
    <xf numFmtId="0" fontId="0" fillId="0" borderId="4" xfId="0" applyBorder="1"/>
    <xf numFmtId="164" fontId="0" fillId="0" borderId="1" xfId="0" applyNumberFormat="1" applyBorder="1"/>
    <xf numFmtId="0" fontId="2" fillId="0" borderId="6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8" fillId="0" borderId="1" xfId="2" applyFont="1" applyBorder="1"/>
    <xf numFmtId="0" fontId="9" fillId="0" borderId="1" xfId="2" applyFont="1" applyBorder="1" applyAlignment="1">
      <alignment horizontal="left"/>
    </xf>
    <xf numFmtId="0" fontId="9" fillId="0" borderId="1" xfId="2" applyFont="1" applyBorder="1" applyAlignment="1">
      <alignment horizontal="right"/>
    </xf>
    <xf numFmtId="0" fontId="10" fillId="0" borderId="1" xfId="2" applyFont="1" applyBorder="1" applyAlignment="1">
      <alignment horizontal="right"/>
    </xf>
    <xf numFmtId="0" fontId="9" fillId="3" borderId="1" xfId="2" applyFont="1" applyFill="1" applyBorder="1" applyAlignment="1">
      <alignment horizontal="right"/>
    </xf>
    <xf numFmtId="0" fontId="8" fillId="0" borderId="1" xfId="2" applyFont="1" applyBorder="1" applyAlignment="1">
      <alignment horizontal="left"/>
    </xf>
    <xf numFmtId="0" fontId="9" fillId="3" borderId="1" xfId="2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right"/>
    </xf>
    <xf numFmtId="0" fontId="10" fillId="3" borderId="1" xfId="2" applyFont="1" applyFill="1" applyBorder="1" applyAlignment="1">
      <alignment horizontal="right" vertical="top"/>
    </xf>
    <xf numFmtId="0" fontId="2" fillId="2" borderId="1" xfId="0" applyFont="1" applyFill="1" applyBorder="1"/>
    <xf numFmtId="44" fontId="4" fillId="0" borderId="1" xfId="1" applyFont="1" applyFill="1" applyBorder="1" applyAlignment="1" applyProtection="1">
      <alignment horizontal="center"/>
      <protection locked="0"/>
    </xf>
    <xf numFmtId="7" fontId="0" fillId="0" borderId="1" xfId="1" applyNumberFormat="1" applyFont="1" applyBorder="1"/>
    <xf numFmtId="0" fontId="0" fillId="0" borderId="1" xfId="0" quotePrefix="1" applyBorder="1" applyAlignment="1">
      <alignment horizontal="right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5" fillId="5" borderId="1" xfId="0" applyFont="1" applyFill="1" applyBorder="1" applyAlignment="1">
      <alignment horizontal="left"/>
    </xf>
    <xf numFmtId="0" fontId="15" fillId="5" borderId="14" xfId="0" applyFont="1" applyFill="1" applyBorder="1" applyAlignment="1">
      <alignment horizontal="left"/>
    </xf>
    <xf numFmtId="0" fontId="14" fillId="3" borderId="1" xfId="0" applyFont="1" applyFill="1" applyBorder="1" applyAlignment="1">
      <alignment horizontal="right"/>
    </xf>
    <xf numFmtId="0" fontId="15" fillId="3" borderId="1" xfId="0" applyFont="1" applyFill="1" applyBorder="1" applyAlignment="1">
      <alignment horizontal="right"/>
    </xf>
    <xf numFmtId="0" fontId="14" fillId="3" borderId="14" xfId="0" applyFont="1" applyFill="1" applyBorder="1" applyAlignment="1">
      <alignment horizontal="right"/>
    </xf>
    <xf numFmtId="0" fontId="15" fillId="3" borderId="14" xfId="0" applyFont="1" applyFill="1" applyBorder="1" applyAlignment="1">
      <alignment horizontal="right"/>
    </xf>
    <xf numFmtId="0" fontId="14" fillId="3" borderId="1" xfId="0" applyFont="1" applyFill="1" applyBorder="1"/>
    <xf numFmtId="0" fontId="14" fillId="3" borderId="14" xfId="0" applyFont="1" applyFill="1" applyBorder="1"/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8" fillId="0" borderId="1" xfId="2" applyFont="1" applyBorder="1" applyAlignment="1">
      <alignment horizontal="center"/>
    </xf>
    <xf numFmtId="0" fontId="8" fillId="0" borderId="1" xfId="2" applyFont="1" applyBorder="1" applyAlignment="1">
      <alignment horizontal="left" vertical="center"/>
    </xf>
    <xf numFmtId="0" fontId="8" fillId="0" borderId="1" xfId="2" applyFont="1" applyBorder="1" applyAlignment="1">
      <alignment horizontal="center" vertical="center"/>
    </xf>
    <xf numFmtId="0" fontId="0" fillId="2" borderId="11" xfId="0" applyFill="1" applyBorder="1" applyAlignment="1">
      <alignment horizontal="center" vertical="top" wrapText="1"/>
    </xf>
    <xf numFmtId="0" fontId="0" fillId="2" borderId="12" xfId="0" applyFill="1" applyBorder="1" applyAlignment="1">
      <alignment horizontal="center" vertical="top" wrapText="1"/>
    </xf>
  </cellXfs>
  <cellStyles count="3">
    <cellStyle name="Currency" xfId="1" builtinId="4"/>
    <cellStyle name="Normal" xfId="0" builtinId="0"/>
    <cellStyle name="Normal 2" xfId="2" xr:uid="{71BB2245-5E51-482C-BEB6-4B4EA1E24B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95712-3F57-4BF2-B3A8-F68BC809A1EE}">
  <dimension ref="A2:M8"/>
  <sheetViews>
    <sheetView tabSelected="1" workbookViewId="0">
      <selection activeCell="E27" sqref="E27"/>
    </sheetView>
  </sheetViews>
  <sheetFormatPr defaultRowHeight="14.45"/>
  <cols>
    <col min="1" max="1" width="9.7109375" customWidth="1"/>
    <col min="2" max="3" width="12.42578125" customWidth="1"/>
    <col min="4" max="4" width="12.28515625" customWidth="1"/>
    <col min="5" max="5" width="13.85546875" customWidth="1"/>
    <col min="6" max="6" width="10.140625" customWidth="1"/>
    <col min="7" max="8" width="10.7109375" customWidth="1"/>
    <col min="9" max="9" width="10.42578125" customWidth="1"/>
    <col min="10" max="10" width="11.28515625" customWidth="1"/>
    <col min="11" max="11" width="14.28515625" customWidth="1"/>
    <col min="12" max="12" width="11.42578125" customWidth="1"/>
    <col min="13" max="13" width="12.140625" customWidth="1"/>
  </cols>
  <sheetData>
    <row r="2" spans="1:13">
      <c r="A2" s="60" t="s">
        <v>0</v>
      </c>
      <c r="B2" s="62" t="s">
        <v>1</v>
      </c>
      <c r="C2" s="62"/>
      <c r="D2" s="62"/>
      <c r="E2" s="62"/>
      <c r="F2" s="62"/>
      <c r="G2" s="62" t="s">
        <v>2</v>
      </c>
      <c r="H2" s="62"/>
      <c r="I2" s="62"/>
      <c r="J2" s="62"/>
      <c r="K2" s="62"/>
      <c r="L2" s="62"/>
      <c r="M2" s="62"/>
    </row>
    <row r="3" spans="1:13">
      <c r="A3" s="66"/>
      <c r="B3" s="63" t="s">
        <v>3</v>
      </c>
      <c r="C3" s="62" t="s">
        <v>4</v>
      </c>
      <c r="D3" s="62"/>
      <c r="E3" s="62"/>
      <c r="F3" s="65" t="s">
        <v>5</v>
      </c>
      <c r="G3" s="65" t="s">
        <v>6</v>
      </c>
      <c r="H3" s="65" t="s">
        <v>7</v>
      </c>
      <c r="I3" s="67" t="s">
        <v>8</v>
      </c>
      <c r="J3" s="65" t="s">
        <v>9</v>
      </c>
      <c r="K3" s="65" t="s">
        <v>10</v>
      </c>
      <c r="L3" s="60" t="s">
        <v>11</v>
      </c>
      <c r="M3" s="60" t="s">
        <v>12</v>
      </c>
    </row>
    <row r="4" spans="1:13">
      <c r="A4" s="61"/>
      <c r="B4" s="64"/>
      <c r="C4" s="50" t="s">
        <v>13</v>
      </c>
      <c r="D4" s="51" t="s">
        <v>14</v>
      </c>
      <c r="E4" s="51" t="s">
        <v>15</v>
      </c>
      <c r="F4" s="65"/>
      <c r="G4" s="65"/>
      <c r="H4" s="65"/>
      <c r="I4" s="67"/>
      <c r="J4" s="65"/>
      <c r="K4" s="65"/>
      <c r="L4" s="61"/>
      <c r="M4" s="61"/>
    </row>
    <row r="5" spans="1:13">
      <c r="A5" s="58" t="s">
        <v>16</v>
      </c>
      <c r="B5" s="54" t="s">
        <v>17</v>
      </c>
      <c r="C5" s="54" t="s">
        <v>18</v>
      </c>
      <c r="D5" s="55" t="s">
        <v>19</v>
      </c>
      <c r="E5" s="52"/>
      <c r="F5" s="54" t="s">
        <v>20</v>
      </c>
      <c r="G5" s="54" t="s">
        <v>21</v>
      </c>
      <c r="H5" s="54" t="s">
        <v>22</v>
      </c>
      <c r="I5" s="54" t="s">
        <v>23</v>
      </c>
      <c r="J5" s="54" t="s">
        <v>24</v>
      </c>
      <c r="K5" s="54" t="s">
        <v>25</v>
      </c>
      <c r="L5" s="54" t="s">
        <v>26</v>
      </c>
      <c r="M5" s="54" t="s">
        <v>27</v>
      </c>
    </row>
    <row r="6" spans="1:13" ht="15" thickBot="1">
      <c r="A6" s="58" t="s">
        <v>28</v>
      </c>
      <c r="B6" s="54">
        <v>6492078</v>
      </c>
      <c r="C6" s="55" t="s">
        <v>29</v>
      </c>
      <c r="D6" s="55" t="s">
        <v>30</v>
      </c>
      <c r="E6" s="52"/>
      <c r="G6" s="55">
        <v>6492170</v>
      </c>
      <c r="H6" s="55">
        <v>6492080</v>
      </c>
      <c r="I6" s="55">
        <v>6492079</v>
      </c>
      <c r="J6" s="55">
        <v>6491360</v>
      </c>
      <c r="K6" s="55" t="s">
        <v>31</v>
      </c>
      <c r="L6" s="55">
        <v>6492077</v>
      </c>
      <c r="M6" s="55">
        <v>6492081</v>
      </c>
    </row>
    <row r="7" spans="1:13" ht="15" thickTop="1">
      <c r="A7" s="59" t="s">
        <v>16</v>
      </c>
      <c r="B7" s="56" t="s">
        <v>32</v>
      </c>
      <c r="C7" s="53"/>
      <c r="D7" s="53"/>
      <c r="E7" s="56" t="s">
        <v>33</v>
      </c>
      <c r="F7" s="53"/>
      <c r="G7" s="56" t="s">
        <v>34</v>
      </c>
      <c r="H7" s="56" t="s">
        <v>35</v>
      </c>
      <c r="I7" s="57" t="s">
        <v>36</v>
      </c>
      <c r="J7" s="53"/>
      <c r="K7" s="53"/>
      <c r="L7" s="56" t="s">
        <v>37</v>
      </c>
      <c r="M7" s="56" t="s">
        <v>38</v>
      </c>
    </row>
    <row r="8" spans="1:13">
      <c r="A8" s="58" t="s">
        <v>28</v>
      </c>
      <c r="B8" s="55">
        <v>6493120</v>
      </c>
      <c r="C8" s="52"/>
      <c r="D8" s="52"/>
      <c r="E8" s="55">
        <v>8900311321</v>
      </c>
      <c r="F8" s="52"/>
      <c r="G8" s="54">
        <v>6493225</v>
      </c>
      <c r="H8" s="55">
        <v>6493118</v>
      </c>
      <c r="I8" s="55">
        <v>6493119</v>
      </c>
      <c r="J8" s="52"/>
      <c r="K8" s="52"/>
      <c r="L8" s="55">
        <v>6493226</v>
      </c>
      <c r="M8" s="55" t="s">
        <v>39</v>
      </c>
    </row>
  </sheetData>
  <mergeCells count="13">
    <mergeCell ref="A2:A4"/>
    <mergeCell ref="I3:I4"/>
    <mergeCell ref="J3:J4"/>
    <mergeCell ref="K3:K4"/>
    <mergeCell ref="L3:L4"/>
    <mergeCell ref="M3:M4"/>
    <mergeCell ref="B2:F2"/>
    <mergeCell ref="G2:M2"/>
    <mergeCell ref="B3:B4"/>
    <mergeCell ref="C3:E3"/>
    <mergeCell ref="F3:F4"/>
    <mergeCell ref="G3:G4"/>
    <mergeCell ref="H3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A0E0D-3B86-48C1-AAD9-EFF113FC83EB}">
  <sheetPr>
    <pageSetUpPr fitToPage="1"/>
  </sheetPr>
  <dimension ref="A1:J29"/>
  <sheetViews>
    <sheetView view="pageLayout" zoomScaleNormal="100" workbookViewId="0">
      <selection activeCell="C17" sqref="C17"/>
    </sheetView>
  </sheetViews>
  <sheetFormatPr defaultRowHeight="14.45"/>
  <cols>
    <col min="1" max="1" width="11" customWidth="1"/>
    <col min="2" max="2" width="5.85546875" customWidth="1"/>
    <col min="3" max="3" width="36.140625" customWidth="1"/>
    <col min="4" max="4" width="24" customWidth="1"/>
    <col min="5" max="5" width="10.140625" customWidth="1"/>
    <col min="6" max="6" width="28.85546875" style="6" customWidth="1"/>
    <col min="7" max="7" width="14.42578125" customWidth="1"/>
    <col min="8" max="8" width="17.5703125" customWidth="1"/>
    <col min="9" max="9" width="10.7109375" customWidth="1"/>
    <col min="10" max="10" width="12.140625" customWidth="1"/>
  </cols>
  <sheetData>
    <row r="1" spans="1:10" ht="15" customHeight="1">
      <c r="A1" s="71" t="s">
        <v>40</v>
      </c>
      <c r="B1" s="71"/>
      <c r="C1" s="71"/>
      <c r="D1" s="71"/>
      <c r="E1" s="71"/>
      <c r="F1" s="71"/>
      <c r="G1" s="71"/>
      <c r="H1" s="72" t="s">
        <v>41</v>
      </c>
      <c r="I1" s="72"/>
      <c r="J1" s="72"/>
    </row>
    <row r="2" spans="1:10" ht="15" customHeight="1">
      <c r="A2" s="72" t="s">
        <v>42</v>
      </c>
      <c r="B2" s="72" t="s">
        <v>43</v>
      </c>
      <c r="C2" s="72" t="s">
        <v>44</v>
      </c>
      <c r="D2" s="72" t="s">
        <v>45</v>
      </c>
      <c r="E2" s="72"/>
      <c r="F2" s="73" t="s">
        <v>46</v>
      </c>
      <c r="G2" s="74"/>
      <c r="H2" s="72" t="s">
        <v>47</v>
      </c>
      <c r="I2" s="75" t="s">
        <v>48</v>
      </c>
      <c r="J2" s="75"/>
    </row>
    <row r="3" spans="1:10">
      <c r="A3" s="72"/>
      <c r="B3" s="72"/>
      <c r="C3" s="72"/>
      <c r="D3" s="1" t="s">
        <v>49</v>
      </c>
      <c r="E3" s="1" t="s">
        <v>50</v>
      </c>
      <c r="F3" s="1" t="s">
        <v>49</v>
      </c>
      <c r="G3" s="1" t="s">
        <v>50</v>
      </c>
      <c r="H3" s="72"/>
      <c r="I3" s="2" t="s">
        <v>51</v>
      </c>
      <c r="J3" s="2" t="s">
        <v>52</v>
      </c>
    </row>
    <row r="4" spans="1:10">
      <c r="A4" s="3">
        <v>972550309</v>
      </c>
      <c r="B4" s="3">
        <v>2</v>
      </c>
      <c r="C4" s="3" t="s">
        <v>53</v>
      </c>
      <c r="D4" s="3" t="s">
        <v>54</v>
      </c>
      <c r="E4" s="3">
        <v>102264</v>
      </c>
      <c r="F4" s="3" t="s">
        <v>54</v>
      </c>
      <c r="G4" s="4" t="s">
        <v>55</v>
      </c>
      <c r="H4" s="3"/>
      <c r="I4" s="3"/>
      <c r="J4" s="3"/>
    </row>
    <row r="5" spans="1:10">
      <c r="A5" s="3">
        <v>972550319</v>
      </c>
      <c r="B5" s="3">
        <v>1</v>
      </c>
      <c r="C5" s="3" t="s">
        <v>56</v>
      </c>
      <c r="D5" s="3" t="s">
        <v>54</v>
      </c>
      <c r="E5" s="3">
        <v>205142</v>
      </c>
      <c r="F5" s="3" t="s">
        <v>54</v>
      </c>
      <c r="G5" s="4" t="s">
        <v>57</v>
      </c>
      <c r="H5" s="3"/>
      <c r="I5" s="3"/>
      <c r="J5" s="3"/>
    </row>
    <row r="6" spans="1:10">
      <c r="A6" s="3">
        <v>972550239</v>
      </c>
      <c r="B6" s="3">
        <v>5</v>
      </c>
      <c r="C6" s="3" t="s">
        <v>58</v>
      </c>
      <c r="D6" s="3" t="s">
        <v>54</v>
      </c>
      <c r="E6" s="3">
        <v>106654</v>
      </c>
      <c r="F6" s="3" t="s">
        <v>59</v>
      </c>
      <c r="G6" s="4" t="s">
        <v>60</v>
      </c>
      <c r="H6" s="3"/>
      <c r="I6" s="3"/>
      <c r="J6" s="3"/>
    </row>
    <row r="7" spans="1:10">
      <c r="A7" s="3">
        <v>972550225</v>
      </c>
      <c r="B7" s="3">
        <v>1</v>
      </c>
      <c r="C7" s="3" t="s">
        <v>61</v>
      </c>
      <c r="D7" s="3" t="s">
        <v>54</v>
      </c>
      <c r="E7" s="3">
        <v>370035</v>
      </c>
      <c r="F7" s="3" t="s">
        <v>54</v>
      </c>
      <c r="G7" s="4" t="s">
        <v>62</v>
      </c>
      <c r="H7" s="3"/>
      <c r="I7" s="3"/>
      <c r="J7" s="3"/>
    </row>
    <row r="8" spans="1:10">
      <c r="A8" s="3">
        <v>972701346</v>
      </c>
      <c r="B8" s="3">
        <v>1</v>
      </c>
      <c r="C8" s="3" t="s">
        <v>63</v>
      </c>
      <c r="D8" s="3" t="s">
        <v>54</v>
      </c>
      <c r="E8" s="3">
        <v>568052</v>
      </c>
      <c r="F8" s="3" t="s">
        <v>54</v>
      </c>
      <c r="G8" s="4" t="s">
        <v>64</v>
      </c>
      <c r="H8" s="3"/>
      <c r="I8" s="3"/>
      <c r="J8" s="3"/>
    </row>
    <row r="9" spans="1:10">
      <c r="A9" s="3">
        <v>972550220</v>
      </c>
      <c r="B9" s="3">
        <v>1</v>
      </c>
      <c r="C9" s="3" t="s">
        <v>65</v>
      </c>
      <c r="D9" s="3" t="s">
        <v>54</v>
      </c>
      <c r="E9" s="3">
        <v>422875</v>
      </c>
      <c r="F9" s="3" t="s">
        <v>54</v>
      </c>
      <c r="G9" s="4" t="s">
        <v>66</v>
      </c>
      <c r="H9" s="3"/>
      <c r="I9" s="3"/>
      <c r="J9" s="3"/>
    </row>
    <row r="10" spans="1:10">
      <c r="A10" s="3">
        <v>972550317</v>
      </c>
      <c r="B10" s="3">
        <v>1</v>
      </c>
      <c r="C10" s="3" t="s">
        <v>67</v>
      </c>
      <c r="D10" s="3" t="s">
        <v>54</v>
      </c>
      <c r="E10" s="3">
        <v>359218</v>
      </c>
      <c r="F10" s="3" t="s">
        <v>54</v>
      </c>
      <c r="G10" s="4" t="s">
        <v>68</v>
      </c>
      <c r="H10" s="3"/>
      <c r="I10" s="3"/>
      <c r="J10" s="3"/>
    </row>
    <row r="11" spans="1:10">
      <c r="A11" s="3">
        <v>972722348</v>
      </c>
      <c r="B11" s="3">
        <v>6</v>
      </c>
      <c r="C11" s="3" t="s">
        <v>69</v>
      </c>
      <c r="D11" s="3" t="s">
        <v>54</v>
      </c>
      <c r="E11" s="3">
        <v>588564</v>
      </c>
      <c r="F11" s="3" t="s">
        <v>70</v>
      </c>
      <c r="G11" s="4" t="s">
        <v>71</v>
      </c>
      <c r="H11" s="3"/>
      <c r="I11" s="3"/>
      <c r="J11" s="3"/>
    </row>
    <row r="12" spans="1:10">
      <c r="A12" s="3">
        <v>972550177</v>
      </c>
      <c r="B12" s="3">
        <v>1</v>
      </c>
      <c r="C12" s="3" t="s">
        <v>72</v>
      </c>
      <c r="D12" s="3" t="s">
        <v>54</v>
      </c>
      <c r="E12" s="3">
        <v>281867</v>
      </c>
      <c r="F12" s="3" t="s">
        <v>73</v>
      </c>
      <c r="G12" s="4" t="s">
        <v>74</v>
      </c>
      <c r="H12" s="3"/>
      <c r="I12" s="3"/>
      <c r="J12" s="3"/>
    </row>
    <row r="13" spans="1:10">
      <c r="A13" s="3">
        <v>972721645</v>
      </c>
      <c r="B13" s="3">
        <v>1</v>
      </c>
      <c r="C13" s="3" t="s">
        <v>75</v>
      </c>
      <c r="D13" s="3" t="s">
        <v>54</v>
      </c>
      <c r="E13" s="3">
        <v>439648</v>
      </c>
      <c r="F13" s="3" t="s">
        <v>76</v>
      </c>
      <c r="G13" s="4" t="s">
        <v>77</v>
      </c>
      <c r="H13" s="3"/>
      <c r="I13" s="3"/>
      <c r="J13" s="3"/>
    </row>
    <row r="14" spans="1:10">
      <c r="A14" s="3">
        <v>987720021</v>
      </c>
      <c r="B14" s="3">
        <v>1</v>
      </c>
      <c r="C14" s="3" t="s">
        <v>78</v>
      </c>
      <c r="D14" s="3" t="s">
        <v>54</v>
      </c>
      <c r="E14" s="3">
        <v>352707</v>
      </c>
      <c r="F14" s="3" t="s">
        <v>54</v>
      </c>
      <c r="G14" s="4">
        <v>352707</v>
      </c>
      <c r="H14" s="3"/>
      <c r="I14" s="3"/>
      <c r="J14" s="3"/>
    </row>
    <row r="15" spans="1:10">
      <c r="A15" s="3">
        <v>987720041</v>
      </c>
      <c r="B15" s="3">
        <v>1</v>
      </c>
      <c r="C15" s="3" t="s">
        <v>79</v>
      </c>
      <c r="D15" s="3" t="s">
        <v>54</v>
      </c>
      <c r="E15" s="3">
        <v>425060</v>
      </c>
      <c r="F15" s="3" t="s">
        <v>54</v>
      </c>
      <c r="G15" s="4">
        <v>425060</v>
      </c>
      <c r="H15" s="3"/>
      <c r="I15" s="3"/>
      <c r="J15" s="3"/>
    </row>
    <row r="16" spans="1:10">
      <c r="A16" s="3">
        <v>972720822</v>
      </c>
      <c r="B16" s="3">
        <v>1</v>
      </c>
      <c r="C16" s="3" t="s">
        <v>80</v>
      </c>
      <c r="D16" s="3" t="s">
        <v>54</v>
      </c>
      <c r="E16" s="3">
        <v>422944</v>
      </c>
      <c r="F16" s="3" t="s">
        <v>54</v>
      </c>
      <c r="G16" s="4" t="s">
        <v>81</v>
      </c>
      <c r="H16" s="3"/>
      <c r="I16" s="3"/>
      <c r="J16" s="3"/>
    </row>
    <row r="17" spans="1:10">
      <c r="A17" s="3">
        <v>972551411</v>
      </c>
      <c r="B17" s="3">
        <v>1</v>
      </c>
      <c r="C17" s="3" t="s">
        <v>82</v>
      </c>
      <c r="D17" s="3" t="s">
        <v>54</v>
      </c>
      <c r="E17" s="3">
        <v>438527</v>
      </c>
      <c r="F17" s="3" t="s">
        <v>54</v>
      </c>
      <c r="G17" s="4" t="s">
        <v>83</v>
      </c>
      <c r="H17" s="3"/>
      <c r="I17" s="3"/>
      <c r="J17" s="3"/>
    </row>
    <row r="18" spans="1:10">
      <c r="A18" s="3">
        <v>972550252</v>
      </c>
      <c r="B18" s="3">
        <v>1</v>
      </c>
      <c r="C18" s="3" t="s">
        <v>84</v>
      </c>
      <c r="D18" s="3" t="s">
        <v>54</v>
      </c>
      <c r="E18" s="3">
        <v>336994</v>
      </c>
      <c r="F18" s="3" t="s">
        <v>85</v>
      </c>
      <c r="G18" s="4">
        <v>336994</v>
      </c>
      <c r="H18" s="3"/>
      <c r="I18" s="3"/>
      <c r="J18" s="3"/>
    </row>
    <row r="19" spans="1:10">
      <c r="A19" s="3">
        <v>972710082</v>
      </c>
      <c r="B19" s="3">
        <v>1</v>
      </c>
      <c r="C19" s="3" t="s">
        <v>86</v>
      </c>
      <c r="D19" s="3" t="s">
        <v>54</v>
      </c>
      <c r="E19" s="3">
        <v>492685</v>
      </c>
      <c r="F19" s="3" t="s">
        <v>54</v>
      </c>
      <c r="G19" s="4" t="s">
        <v>87</v>
      </c>
      <c r="H19" s="3"/>
      <c r="I19" s="3"/>
      <c r="J19" s="3"/>
    </row>
    <row r="20" spans="1:10">
      <c r="A20" s="3">
        <v>972700013</v>
      </c>
      <c r="B20" s="3">
        <v>2</v>
      </c>
      <c r="C20" s="3" t="s">
        <v>88</v>
      </c>
      <c r="D20" s="3" t="s">
        <v>54</v>
      </c>
      <c r="E20" s="3">
        <v>492796</v>
      </c>
      <c r="F20" s="3" t="s">
        <v>54</v>
      </c>
      <c r="G20" s="4" t="s">
        <v>89</v>
      </c>
      <c r="H20" s="3"/>
      <c r="I20" s="3"/>
      <c r="J20" s="3"/>
    </row>
    <row r="21" spans="1:10">
      <c r="A21" s="3">
        <v>972550090</v>
      </c>
      <c r="B21" s="3">
        <v>3</v>
      </c>
      <c r="C21" s="3" t="s">
        <v>90</v>
      </c>
      <c r="D21" s="3" t="s">
        <v>54</v>
      </c>
      <c r="E21" s="3">
        <v>492838</v>
      </c>
      <c r="F21" s="3" t="s">
        <v>54</v>
      </c>
      <c r="G21" s="4" t="s">
        <v>91</v>
      </c>
      <c r="H21" s="3"/>
      <c r="I21" s="3"/>
      <c r="J21" s="3"/>
    </row>
    <row r="22" spans="1:10">
      <c r="A22" s="3">
        <v>801700081</v>
      </c>
      <c r="B22" s="3">
        <v>2</v>
      </c>
      <c r="C22" s="3" t="s">
        <v>92</v>
      </c>
      <c r="D22" s="3" t="s">
        <v>54</v>
      </c>
      <c r="E22" s="3">
        <v>482662</v>
      </c>
      <c r="F22" s="3" t="s">
        <v>54</v>
      </c>
      <c r="G22" s="4" t="s">
        <v>93</v>
      </c>
      <c r="H22" s="3"/>
      <c r="I22" s="3"/>
      <c r="J22" s="3"/>
    </row>
    <row r="23" spans="1:10">
      <c r="A23" s="3">
        <v>972700506</v>
      </c>
      <c r="B23" s="3">
        <v>1</v>
      </c>
      <c r="C23" s="3" t="s">
        <v>94</v>
      </c>
      <c r="D23" s="3" t="s">
        <v>54</v>
      </c>
      <c r="E23" s="3">
        <v>538660</v>
      </c>
      <c r="F23" s="3" t="s">
        <v>54</v>
      </c>
      <c r="G23" s="4">
        <v>538660</v>
      </c>
      <c r="H23" s="3"/>
      <c r="I23" s="3"/>
      <c r="J23" s="3"/>
    </row>
    <row r="24" spans="1:10">
      <c r="A24" s="3">
        <v>972700509</v>
      </c>
      <c r="B24" s="3">
        <v>1</v>
      </c>
      <c r="C24" s="3" t="s">
        <v>95</v>
      </c>
      <c r="D24" s="3" t="s">
        <v>54</v>
      </c>
      <c r="E24" s="3">
        <v>538662</v>
      </c>
      <c r="F24" s="3" t="s">
        <v>54</v>
      </c>
      <c r="G24" s="4">
        <v>538662</v>
      </c>
      <c r="H24" s="3"/>
      <c r="I24" s="3"/>
      <c r="J24" s="3"/>
    </row>
    <row r="25" spans="1:10" ht="34.5" customHeight="1">
      <c r="A25" s="68" t="s">
        <v>96</v>
      </c>
      <c r="B25" s="69"/>
      <c r="C25" s="69"/>
      <c r="D25" s="69"/>
      <c r="E25" s="69"/>
      <c r="F25" s="69"/>
      <c r="G25" s="69"/>
      <c r="H25" s="69"/>
      <c r="I25" s="69"/>
      <c r="J25" s="70"/>
    </row>
    <row r="26" spans="1:10">
      <c r="F26"/>
    </row>
    <row r="27" spans="1:10">
      <c r="F27"/>
    </row>
    <row r="28" spans="1:10">
      <c r="F28" s="5"/>
    </row>
    <row r="29" spans="1:10">
      <c r="F29"/>
    </row>
  </sheetData>
  <mergeCells count="10">
    <mergeCell ref="A25:J25"/>
    <mergeCell ref="A1:G1"/>
    <mergeCell ref="H1:J1"/>
    <mergeCell ref="A2:A3"/>
    <mergeCell ref="B2:B3"/>
    <mergeCell ref="C2:C3"/>
    <mergeCell ref="D2:E2"/>
    <mergeCell ref="F2:G2"/>
    <mergeCell ref="H2:H3"/>
    <mergeCell ref="I2:J2"/>
  </mergeCells>
  <pageMargins left="0.7" right="0.7" top="0.58333333333333337" bottom="0.75" header="0.3" footer="0.3"/>
  <pageSetup scale="71" fitToHeight="0" orientation="landscape" r:id="rId1"/>
  <headerFooter>
    <oddHeader>&amp;C&amp;"-,Bold"MIDLIFE OVERHAUL 2015-16 NEW FLYER XN40 (SR1947: 2830-2993)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C896A-029B-40B0-8577-EA0D8654D617}">
  <sheetPr>
    <pageSetUpPr fitToPage="1"/>
  </sheetPr>
  <dimension ref="A1:J24"/>
  <sheetViews>
    <sheetView view="pageLayout" zoomScaleNormal="100" workbookViewId="0">
      <selection activeCell="C38" sqref="C38"/>
    </sheetView>
  </sheetViews>
  <sheetFormatPr defaultRowHeight="14.45"/>
  <cols>
    <col min="1" max="1" width="11.28515625" customWidth="1"/>
    <col min="2" max="2" width="4.85546875" customWidth="1"/>
    <col min="3" max="3" width="35.85546875" customWidth="1"/>
    <col min="4" max="4" width="24" customWidth="1"/>
    <col min="5" max="5" width="8.7109375" customWidth="1"/>
    <col min="6" max="6" width="26" customWidth="1"/>
    <col min="7" max="7" width="16.140625" customWidth="1"/>
    <col min="8" max="8" width="12.5703125" customWidth="1"/>
    <col min="9" max="9" width="13.42578125" customWidth="1"/>
    <col min="10" max="10" width="13.7109375" customWidth="1"/>
  </cols>
  <sheetData>
    <row r="1" spans="1:10" ht="15" customHeight="1">
      <c r="A1" s="76" t="s">
        <v>97</v>
      </c>
      <c r="B1" s="77"/>
      <c r="C1" s="77"/>
      <c r="D1" s="77"/>
      <c r="E1" s="77"/>
      <c r="F1" s="77"/>
      <c r="G1" s="78"/>
      <c r="H1" s="79" t="s">
        <v>41</v>
      </c>
      <c r="I1" s="80"/>
      <c r="J1" s="81"/>
    </row>
    <row r="2" spans="1:10">
      <c r="A2" s="72" t="s">
        <v>98</v>
      </c>
      <c r="B2" s="72" t="s">
        <v>43</v>
      </c>
      <c r="C2" s="72" t="s">
        <v>44</v>
      </c>
      <c r="D2" s="82" t="s">
        <v>45</v>
      </c>
      <c r="E2" s="74"/>
      <c r="F2" s="73" t="s">
        <v>46</v>
      </c>
      <c r="G2" s="74"/>
      <c r="H2" s="72" t="s">
        <v>47</v>
      </c>
      <c r="I2" s="75" t="s">
        <v>48</v>
      </c>
      <c r="J2" s="75"/>
    </row>
    <row r="3" spans="1:10">
      <c r="A3" s="72"/>
      <c r="B3" s="72"/>
      <c r="C3" s="72"/>
      <c r="D3" s="1" t="s">
        <v>49</v>
      </c>
      <c r="E3" s="1" t="s">
        <v>50</v>
      </c>
      <c r="F3" s="1" t="s">
        <v>49</v>
      </c>
      <c r="G3" s="1" t="s">
        <v>50</v>
      </c>
      <c r="H3" s="72"/>
      <c r="I3" s="2" t="s">
        <v>51</v>
      </c>
      <c r="J3" s="2" t="s">
        <v>52</v>
      </c>
    </row>
    <row r="4" spans="1:10">
      <c r="A4" s="3">
        <v>972550281</v>
      </c>
      <c r="B4" s="3">
        <v>1</v>
      </c>
      <c r="C4" s="3" t="s">
        <v>99</v>
      </c>
      <c r="D4" s="7" t="s">
        <v>54</v>
      </c>
      <c r="E4" s="3">
        <v>320323</v>
      </c>
      <c r="F4" s="3" t="s">
        <v>100</v>
      </c>
      <c r="G4" s="8" t="s">
        <v>101</v>
      </c>
      <c r="H4" s="3"/>
      <c r="I4" s="3"/>
      <c r="J4" s="3"/>
    </row>
    <row r="5" spans="1:10">
      <c r="A5" s="3">
        <v>972551052</v>
      </c>
      <c r="B5" s="3">
        <v>1</v>
      </c>
      <c r="C5" s="3" t="s">
        <v>102</v>
      </c>
      <c r="D5" s="7" t="s">
        <v>54</v>
      </c>
      <c r="E5" s="3">
        <v>353655</v>
      </c>
      <c r="F5" s="3" t="s">
        <v>103</v>
      </c>
      <c r="G5" s="8" t="s">
        <v>104</v>
      </c>
      <c r="H5" s="3"/>
      <c r="I5" s="3"/>
      <c r="J5" s="3"/>
    </row>
    <row r="6" spans="1:10">
      <c r="A6" s="3">
        <v>972551054</v>
      </c>
      <c r="B6" s="3">
        <v>1</v>
      </c>
      <c r="C6" s="3" t="s">
        <v>105</v>
      </c>
      <c r="D6" s="7" t="s">
        <v>54</v>
      </c>
      <c r="E6" s="3">
        <v>353779</v>
      </c>
      <c r="F6" s="3" t="s">
        <v>103</v>
      </c>
      <c r="G6" s="8" t="s">
        <v>106</v>
      </c>
      <c r="H6" s="3"/>
      <c r="I6" s="3"/>
      <c r="J6" s="3"/>
    </row>
    <row r="7" spans="1:10">
      <c r="A7" s="3">
        <v>972550679</v>
      </c>
      <c r="B7" s="3">
        <v>2</v>
      </c>
      <c r="C7" s="3" t="s">
        <v>107</v>
      </c>
      <c r="D7" s="7" t="s">
        <v>54</v>
      </c>
      <c r="E7" s="3">
        <v>395451</v>
      </c>
      <c r="F7" s="3" t="s">
        <v>103</v>
      </c>
      <c r="G7" s="8" t="s">
        <v>108</v>
      </c>
      <c r="H7" s="3"/>
      <c r="I7" s="3"/>
      <c r="J7" s="3"/>
    </row>
    <row r="8" spans="1:10">
      <c r="A8" s="3">
        <v>972720151</v>
      </c>
      <c r="B8" s="3">
        <v>2</v>
      </c>
      <c r="C8" s="3" t="s">
        <v>109</v>
      </c>
      <c r="D8" s="7" t="s">
        <v>54</v>
      </c>
      <c r="E8" s="3">
        <v>422834</v>
      </c>
      <c r="F8" s="3" t="s">
        <v>110</v>
      </c>
      <c r="G8" s="8" t="s">
        <v>111</v>
      </c>
      <c r="H8" s="3"/>
      <c r="I8" s="3"/>
      <c r="J8" s="3"/>
    </row>
    <row r="9" spans="1:10">
      <c r="A9" s="3">
        <v>972720741</v>
      </c>
      <c r="B9" s="3">
        <v>1</v>
      </c>
      <c r="C9" s="3" t="s">
        <v>112</v>
      </c>
      <c r="D9" s="7" t="s">
        <v>54</v>
      </c>
      <c r="E9" s="3">
        <v>355409</v>
      </c>
      <c r="F9" s="3" t="s">
        <v>103</v>
      </c>
      <c r="G9" s="8" t="s">
        <v>113</v>
      </c>
      <c r="H9" s="3"/>
      <c r="I9" s="3"/>
      <c r="J9" s="3"/>
    </row>
    <row r="10" spans="1:10">
      <c r="A10" s="3">
        <v>972550771</v>
      </c>
      <c r="B10" s="3">
        <v>1</v>
      </c>
      <c r="C10" s="3" t="s">
        <v>114</v>
      </c>
      <c r="D10" s="7" t="s">
        <v>54</v>
      </c>
      <c r="E10" s="3">
        <v>404482</v>
      </c>
      <c r="F10" s="3" t="s">
        <v>103</v>
      </c>
      <c r="G10" s="8" t="s">
        <v>115</v>
      </c>
      <c r="H10" s="3"/>
      <c r="I10" s="3"/>
      <c r="J10" s="3"/>
    </row>
    <row r="11" spans="1:10">
      <c r="A11" s="3">
        <v>972550199</v>
      </c>
      <c r="B11" s="3">
        <v>2</v>
      </c>
      <c r="C11" s="3" t="s">
        <v>116</v>
      </c>
      <c r="D11" s="7" t="s">
        <v>54</v>
      </c>
      <c r="E11" s="3">
        <v>6338900</v>
      </c>
      <c r="F11" s="3" t="s">
        <v>103</v>
      </c>
      <c r="G11" s="8" t="s">
        <v>117</v>
      </c>
      <c r="H11" s="3"/>
      <c r="I11" s="3"/>
      <c r="J11" s="3"/>
    </row>
    <row r="12" spans="1:10">
      <c r="A12" s="3">
        <v>972550198</v>
      </c>
      <c r="B12" s="3">
        <v>4</v>
      </c>
      <c r="C12" s="3" t="s">
        <v>118</v>
      </c>
      <c r="D12" s="7" t="s">
        <v>54</v>
      </c>
      <c r="E12" s="3">
        <v>6321482</v>
      </c>
      <c r="F12" s="3" t="s">
        <v>103</v>
      </c>
      <c r="G12" s="8" t="s">
        <v>119</v>
      </c>
      <c r="H12" s="3"/>
      <c r="I12" s="3"/>
      <c r="J12" s="3"/>
    </row>
    <row r="13" spans="1:10">
      <c r="A13" s="3">
        <v>972550055</v>
      </c>
      <c r="B13" s="3">
        <v>1</v>
      </c>
      <c r="C13" s="3" t="s">
        <v>120</v>
      </c>
      <c r="D13" s="7" t="s">
        <v>54</v>
      </c>
      <c r="E13" s="8" t="s">
        <v>121</v>
      </c>
      <c r="F13" s="3" t="s">
        <v>122</v>
      </c>
      <c r="G13" s="8" t="s">
        <v>121</v>
      </c>
      <c r="H13" s="3"/>
      <c r="I13" s="3"/>
      <c r="J13" s="3"/>
    </row>
    <row r="14" spans="1:10">
      <c r="A14" s="3">
        <v>881700023</v>
      </c>
      <c r="B14" s="3">
        <v>6</v>
      </c>
      <c r="C14" s="3" t="s">
        <v>123</v>
      </c>
      <c r="D14" s="7" t="s">
        <v>54</v>
      </c>
      <c r="E14" s="3">
        <v>21181</v>
      </c>
      <c r="F14" s="3" t="s">
        <v>124</v>
      </c>
      <c r="G14" s="8" t="s">
        <v>125</v>
      </c>
      <c r="H14" s="3"/>
      <c r="I14" s="3"/>
      <c r="J14" s="3"/>
    </row>
    <row r="15" spans="1:10">
      <c r="A15" s="3">
        <v>881700022</v>
      </c>
      <c r="B15" s="3">
        <v>4</v>
      </c>
      <c r="C15" s="3" t="s">
        <v>126</v>
      </c>
      <c r="D15" s="7" t="s">
        <v>54</v>
      </c>
      <c r="E15" s="3">
        <v>21180</v>
      </c>
      <c r="F15" s="3" t="s">
        <v>124</v>
      </c>
      <c r="G15" s="8" t="s">
        <v>127</v>
      </c>
      <c r="H15" s="3"/>
      <c r="I15" s="3"/>
      <c r="J15" s="3"/>
    </row>
    <row r="16" spans="1:10">
      <c r="A16" s="3">
        <v>972720039</v>
      </c>
      <c r="B16" s="3">
        <v>1</v>
      </c>
      <c r="C16" s="3" t="s">
        <v>128</v>
      </c>
      <c r="D16" s="7" t="s">
        <v>54</v>
      </c>
      <c r="E16" s="3">
        <v>425379</v>
      </c>
      <c r="F16" s="3" t="s">
        <v>129</v>
      </c>
      <c r="G16" s="8" t="s">
        <v>130</v>
      </c>
      <c r="H16" s="3"/>
      <c r="I16" s="3"/>
      <c r="J16" s="3"/>
    </row>
    <row r="17" spans="1:10">
      <c r="A17" s="3">
        <v>972550774</v>
      </c>
      <c r="B17" s="3">
        <v>1</v>
      </c>
      <c r="C17" s="3" t="s">
        <v>131</v>
      </c>
      <c r="D17" s="7" t="s">
        <v>54</v>
      </c>
      <c r="E17" s="3">
        <v>415688</v>
      </c>
      <c r="F17" s="3" t="s">
        <v>103</v>
      </c>
      <c r="G17" s="8" t="s">
        <v>132</v>
      </c>
      <c r="H17" s="3"/>
      <c r="I17" s="3"/>
      <c r="J17" s="3"/>
    </row>
    <row r="18" spans="1:10">
      <c r="A18" s="3">
        <v>972550373</v>
      </c>
      <c r="B18" s="3">
        <v>1</v>
      </c>
      <c r="C18" s="3" t="s">
        <v>133</v>
      </c>
      <c r="D18" s="7" t="s">
        <v>54</v>
      </c>
      <c r="E18" s="3">
        <v>415687</v>
      </c>
      <c r="F18" s="3" t="s">
        <v>103</v>
      </c>
      <c r="G18" s="8" t="s">
        <v>134</v>
      </c>
      <c r="H18" s="3"/>
      <c r="I18" s="3"/>
      <c r="J18" s="3"/>
    </row>
    <row r="19" spans="1:10">
      <c r="A19" s="3">
        <v>972551111</v>
      </c>
      <c r="B19" s="3">
        <v>1</v>
      </c>
      <c r="C19" s="3" t="s">
        <v>135</v>
      </c>
      <c r="D19" s="7" t="s">
        <v>54</v>
      </c>
      <c r="E19" s="3">
        <v>353935</v>
      </c>
      <c r="F19" s="3" t="s">
        <v>103</v>
      </c>
      <c r="G19" s="8" t="s">
        <v>136</v>
      </c>
      <c r="H19" s="3"/>
      <c r="I19" s="3"/>
      <c r="J19" s="3"/>
    </row>
    <row r="20" spans="1:10">
      <c r="A20" s="3">
        <v>971720804</v>
      </c>
      <c r="B20" s="3">
        <v>1</v>
      </c>
      <c r="C20" s="3" t="s">
        <v>137</v>
      </c>
      <c r="D20" s="7" t="s">
        <v>54</v>
      </c>
      <c r="E20" s="3">
        <v>355775</v>
      </c>
      <c r="F20" s="3" t="s">
        <v>103</v>
      </c>
      <c r="G20" s="8" t="s">
        <v>138</v>
      </c>
      <c r="H20" s="3"/>
      <c r="I20" s="3"/>
      <c r="J20" s="3"/>
    </row>
    <row r="21" spans="1:10">
      <c r="A21" s="3">
        <v>972720885</v>
      </c>
      <c r="B21" s="3">
        <v>1</v>
      </c>
      <c r="C21" s="3" t="s">
        <v>139</v>
      </c>
      <c r="D21" s="7" t="s">
        <v>54</v>
      </c>
      <c r="E21" s="3">
        <v>355776</v>
      </c>
      <c r="F21" s="3" t="s">
        <v>103</v>
      </c>
      <c r="G21" s="8" t="s">
        <v>140</v>
      </c>
      <c r="H21" s="3"/>
      <c r="I21" s="3"/>
      <c r="J21" s="3"/>
    </row>
    <row r="22" spans="1:10">
      <c r="A22" s="3">
        <v>972700021</v>
      </c>
      <c r="B22" s="3">
        <v>2</v>
      </c>
      <c r="C22" s="3" t="s">
        <v>141</v>
      </c>
      <c r="D22" s="7" t="s">
        <v>54</v>
      </c>
      <c r="E22" s="3">
        <v>86238</v>
      </c>
      <c r="F22" s="3" t="s">
        <v>142</v>
      </c>
      <c r="G22" s="8" t="s">
        <v>143</v>
      </c>
      <c r="H22" s="3"/>
      <c r="I22" s="3"/>
      <c r="J22" s="3"/>
    </row>
    <row r="23" spans="1:10">
      <c r="A23" s="3">
        <v>972560073</v>
      </c>
      <c r="B23" s="3">
        <v>1</v>
      </c>
      <c r="C23" s="3" t="s">
        <v>144</v>
      </c>
      <c r="D23" s="7" t="s">
        <v>54</v>
      </c>
      <c r="E23" s="3">
        <v>588243</v>
      </c>
      <c r="F23" s="3" t="s">
        <v>145</v>
      </c>
      <c r="G23" s="8" t="s">
        <v>146</v>
      </c>
      <c r="H23" s="3"/>
      <c r="I23" s="3"/>
      <c r="J23" s="3"/>
    </row>
    <row r="24" spans="1:10" ht="34.5" customHeight="1">
      <c r="A24" s="68" t="s">
        <v>96</v>
      </c>
      <c r="B24" s="69"/>
      <c r="C24" s="69"/>
      <c r="D24" s="69"/>
      <c r="E24" s="69"/>
      <c r="F24" s="69"/>
      <c r="G24" s="69"/>
      <c r="H24" s="69"/>
      <c r="I24" s="69"/>
      <c r="J24" s="70"/>
    </row>
  </sheetData>
  <mergeCells count="10">
    <mergeCell ref="A24:J24"/>
    <mergeCell ref="A1:G1"/>
    <mergeCell ref="H1:J1"/>
    <mergeCell ref="A2:A3"/>
    <mergeCell ref="B2:B3"/>
    <mergeCell ref="C2:C3"/>
    <mergeCell ref="D2:E2"/>
    <mergeCell ref="F2:G2"/>
    <mergeCell ref="H2:H3"/>
    <mergeCell ref="I2:J2"/>
  </mergeCells>
  <pageMargins left="0.7" right="0.7" top="0.52739583333333329" bottom="0.75" header="0.3" footer="0.3"/>
  <pageSetup scale="73" fitToHeight="0" orientation="landscape" r:id="rId1"/>
  <headerFooter>
    <oddHeader>&amp;C&amp;"-,Bold"MIDLIFE OVERHAUL 2015-16 NEW FLYER XN40 (SR1947: 2830-2993)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A9C91-F8D1-47A8-A9CB-B52FB1BC32AA}">
  <sheetPr>
    <pageSetUpPr fitToPage="1"/>
  </sheetPr>
  <dimension ref="A1:J68"/>
  <sheetViews>
    <sheetView view="pageLayout" topLeftCell="A62" zoomScaleNormal="100" workbookViewId="0">
      <selection activeCell="C86" sqref="C86"/>
    </sheetView>
  </sheetViews>
  <sheetFormatPr defaultColWidth="11.7109375" defaultRowHeight="14.45"/>
  <cols>
    <col min="2" max="2" width="6.5703125" customWidth="1"/>
    <col min="3" max="3" width="32.28515625" bestFit="1" customWidth="1"/>
    <col min="4" max="4" width="25.140625" customWidth="1"/>
    <col min="5" max="5" width="14.7109375" customWidth="1"/>
    <col min="6" max="6" width="30.28515625" bestFit="1" customWidth="1"/>
    <col min="7" max="7" width="13.28515625" customWidth="1"/>
    <col min="8" max="8" width="12.5703125" customWidth="1"/>
  </cols>
  <sheetData>
    <row r="1" spans="1:10" ht="15" customHeight="1">
      <c r="A1" s="76" t="s">
        <v>147</v>
      </c>
      <c r="B1" s="77"/>
      <c r="C1" s="77"/>
      <c r="D1" s="77"/>
      <c r="E1" s="77"/>
      <c r="F1" s="77"/>
      <c r="G1" s="78"/>
      <c r="H1" s="79" t="s">
        <v>41</v>
      </c>
      <c r="I1" s="80"/>
      <c r="J1" s="81"/>
    </row>
    <row r="2" spans="1:10">
      <c r="A2" s="72" t="s">
        <v>98</v>
      </c>
      <c r="B2" s="72" t="s">
        <v>43</v>
      </c>
      <c r="C2" s="72" t="s">
        <v>44</v>
      </c>
      <c r="D2" s="82" t="s">
        <v>148</v>
      </c>
      <c r="E2" s="74"/>
      <c r="F2" s="73" t="s">
        <v>46</v>
      </c>
      <c r="G2" s="74"/>
      <c r="H2" s="72" t="s">
        <v>47</v>
      </c>
      <c r="I2" s="75" t="s">
        <v>48</v>
      </c>
      <c r="J2" s="75"/>
    </row>
    <row r="3" spans="1:10">
      <c r="A3" s="72"/>
      <c r="B3" s="72"/>
      <c r="C3" s="72"/>
      <c r="D3" s="1" t="s">
        <v>49</v>
      </c>
      <c r="E3" s="1" t="s">
        <v>50</v>
      </c>
      <c r="F3" s="1" t="s">
        <v>49</v>
      </c>
      <c r="G3" s="1" t="s">
        <v>50</v>
      </c>
      <c r="H3" s="72"/>
      <c r="I3" s="2" t="s">
        <v>51</v>
      </c>
      <c r="J3" s="2" t="s">
        <v>52</v>
      </c>
    </row>
    <row r="4" spans="1:10">
      <c r="A4" s="3">
        <v>953720003</v>
      </c>
      <c r="B4" s="3">
        <v>2</v>
      </c>
      <c r="C4" s="3" t="s">
        <v>149</v>
      </c>
      <c r="D4" s="3" t="s">
        <v>54</v>
      </c>
      <c r="E4" s="8">
        <v>201584</v>
      </c>
      <c r="F4" s="3" t="s">
        <v>54</v>
      </c>
      <c r="G4" s="8" t="s">
        <v>150</v>
      </c>
      <c r="H4" s="3"/>
      <c r="I4" s="3"/>
      <c r="J4" s="3"/>
    </row>
    <row r="5" spans="1:10">
      <c r="A5" s="3">
        <v>994720041</v>
      </c>
      <c r="B5" s="3">
        <v>8</v>
      </c>
      <c r="C5" s="3" t="s">
        <v>151</v>
      </c>
      <c r="D5" s="3" t="s">
        <v>54</v>
      </c>
      <c r="E5" s="8">
        <v>203772</v>
      </c>
      <c r="F5" s="3" t="s">
        <v>59</v>
      </c>
      <c r="G5" s="8" t="s">
        <v>152</v>
      </c>
      <c r="H5" s="3"/>
      <c r="I5" s="3"/>
      <c r="J5" s="3"/>
    </row>
    <row r="6" spans="1:10">
      <c r="A6" s="3">
        <v>992700006</v>
      </c>
      <c r="B6" s="3">
        <v>2</v>
      </c>
      <c r="C6" s="3" t="s">
        <v>153</v>
      </c>
      <c r="D6" s="3" t="s">
        <v>54</v>
      </c>
      <c r="E6" s="8" t="s">
        <v>154</v>
      </c>
      <c r="F6" s="3" t="s">
        <v>59</v>
      </c>
      <c r="G6" s="8" t="s">
        <v>154</v>
      </c>
      <c r="H6" s="3"/>
      <c r="I6" s="3"/>
      <c r="J6" s="3"/>
    </row>
    <row r="7" spans="1:10">
      <c r="A7" s="3">
        <v>910720062</v>
      </c>
      <c r="B7" s="3">
        <v>8</v>
      </c>
      <c r="C7" s="3" t="s">
        <v>155</v>
      </c>
      <c r="D7" s="3" t="s">
        <v>54</v>
      </c>
      <c r="E7" s="8" t="s">
        <v>156</v>
      </c>
      <c r="F7" s="3" t="s">
        <v>59</v>
      </c>
      <c r="G7" s="8" t="s">
        <v>156</v>
      </c>
      <c r="H7" s="3"/>
      <c r="I7" s="3"/>
      <c r="J7" s="3"/>
    </row>
    <row r="8" spans="1:10">
      <c r="A8" s="3">
        <v>999720122</v>
      </c>
      <c r="B8" s="3">
        <v>4</v>
      </c>
      <c r="C8" s="3" t="s">
        <v>157</v>
      </c>
      <c r="D8" s="3" t="s">
        <v>54</v>
      </c>
      <c r="E8" s="8">
        <v>240061</v>
      </c>
      <c r="F8" s="3" t="s">
        <v>59</v>
      </c>
      <c r="G8" s="8" t="s">
        <v>158</v>
      </c>
      <c r="H8" s="3"/>
      <c r="I8" s="3"/>
      <c r="J8" s="3"/>
    </row>
    <row r="9" spans="1:10">
      <c r="A9" s="3">
        <v>999720123</v>
      </c>
      <c r="B9" s="3">
        <v>4</v>
      </c>
      <c r="C9" s="3" t="s">
        <v>159</v>
      </c>
      <c r="D9" s="3" t="s">
        <v>54</v>
      </c>
      <c r="E9" s="8">
        <v>240064</v>
      </c>
      <c r="F9" s="3" t="s">
        <v>59</v>
      </c>
      <c r="G9" s="8" t="s">
        <v>160</v>
      </c>
      <c r="H9" s="3"/>
      <c r="I9" s="3"/>
      <c r="J9" s="3"/>
    </row>
    <row r="10" spans="1:10">
      <c r="A10" s="3">
        <v>933550015</v>
      </c>
      <c r="B10" s="3">
        <v>1</v>
      </c>
      <c r="C10" s="3" t="s">
        <v>161</v>
      </c>
      <c r="D10" s="3" t="s">
        <v>54</v>
      </c>
      <c r="E10" s="8">
        <v>393842</v>
      </c>
      <c r="F10" s="3" t="s">
        <v>54</v>
      </c>
      <c r="G10" s="8" t="s">
        <v>162</v>
      </c>
      <c r="H10" s="3"/>
      <c r="I10" s="3"/>
      <c r="J10" s="3"/>
    </row>
    <row r="11" spans="1:10">
      <c r="A11" s="3">
        <v>931720042</v>
      </c>
      <c r="B11" s="3">
        <v>2</v>
      </c>
      <c r="C11" s="3" t="s">
        <v>163</v>
      </c>
      <c r="D11" s="3" t="s">
        <v>54</v>
      </c>
      <c r="E11" s="8">
        <v>348060</v>
      </c>
      <c r="F11" s="3" t="s">
        <v>54</v>
      </c>
      <c r="G11" s="8" t="s">
        <v>164</v>
      </c>
      <c r="H11" s="3"/>
      <c r="I11" s="3"/>
      <c r="J11" s="3"/>
    </row>
    <row r="12" spans="1:10">
      <c r="A12" s="3">
        <v>910720061</v>
      </c>
      <c r="B12" s="3">
        <v>8</v>
      </c>
      <c r="C12" s="3" t="s">
        <v>165</v>
      </c>
      <c r="D12" s="3" t="s">
        <v>54</v>
      </c>
      <c r="E12" s="8">
        <v>354724</v>
      </c>
      <c r="F12" s="3" t="s">
        <v>59</v>
      </c>
      <c r="G12" s="8">
        <v>354724</v>
      </c>
      <c r="H12" s="3"/>
      <c r="I12" s="3"/>
      <c r="J12" s="3"/>
    </row>
    <row r="13" spans="1:10">
      <c r="A13" s="3">
        <v>999720441</v>
      </c>
      <c r="B13" s="3">
        <v>4</v>
      </c>
      <c r="C13" s="3" t="s">
        <v>166</v>
      </c>
      <c r="D13" s="3" t="s">
        <v>54</v>
      </c>
      <c r="E13" s="8" t="s">
        <v>167</v>
      </c>
      <c r="F13" s="3" t="s">
        <v>59</v>
      </c>
      <c r="G13" s="8" t="s">
        <v>167</v>
      </c>
      <c r="H13" s="3"/>
      <c r="I13" s="3"/>
      <c r="J13" s="3"/>
    </row>
    <row r="14" spans="1:10">
      <c r="A14" s="3">
        <v>910720062</v>
      </c>
      <c r="B14" s="3">
        <v>8</v>
      </c>
      <c r="C14" s="3" t="s">
        <v>168</v>
      </c>
      <c r="D14" s="3" t="s">
        <v>54</v>
      </c>
      <c r="E14" s="8" t="s">
        <v>156</v>
      </c>
      <c r="F14" s="3" t="s">
        <v>59</v>
      </c>
      <c r="G14" s="8" t="s">
        <v>156</v>
      </c>
      <c r="H14" s="3"/>
      <c r="I14" s="3"/>
      <c r="J14" s="3"/>
    </row>
    <row r="15" spans="1:10">
      <c r="A15" s="3">
        <v>955550017</v>
      </c>
      <c r="B15" s="3">
        <v>2</v>
      </c>
      <c r="C15" s="3" t="s">
        <v>169</v>
      </c>
      <c r="D15" s="3" t="s">
        <v>54</v>
      </c>
      <c r="E15" s="8">
        <v>574169</v>
      </c>
      <c r="F15" s="3" t="s">
        <v>170</v>
      </c>
      <c r="G15" s="8" t="s">
        <v>171</v>
      </c>
      <c r="H15" s="3"/>
      <c r="I15" s="3"/>
      <c r="J15" s="3"/>
    </row>
    <row r="16" spans="1:10">
      <c r="A16" s="3">
        <v>933550014</v>
      </c>
      <c r="B16" s="3">
        <v>2</v>
      </c>
      <c r="C16" s="3" t="s">
        <v>172</v>
      </c>
      <c r="D16" s="3" t="s">
        <v>54</v>
      </c>
      <c r="E16" s="8">
        <v>344499</v>
      </c>
      <c r="F16" s="3" t="s">
        <v>173</v>
      </c>
      <c r="G16" s="8" t="s">
        <v>174</v>
      </c>
      <c r="H16" s="3"/>
      <c r="I16" s="3"/>
      <c r="J16" s="3"/>
    </row>
    <row r="17" spans="1:10">
      <c r="A17" s="3">
        <v>910720061</v>
      </c>
      <c r="B17" s="3">
        <v>8</v>
      </c>
      <c r="C17" s="3" t="s">
        <v>165</v>
      </c>
      <c r="D17" s="3" t="s">
        <v>54</v>
      </c>
      <c r="E17" s="8">
        <v>354724</v>
      </c>
      <c r="F17" s="3" t="s">
        <v>59</v>
      </c>
      <c r="G17" s="8">
        <v>354724</v>
      </c>
      <c r="H17" s="3"/>
      <c r="I17" s="3"/>
      <c r="J17" s="3"/>
    </row>
    <row r="18" spans="1:10">
      <c r="A18" s="3">
        <v>999720122</v>
      </c>
      <c r="B18" s="3">
        <v>4</v>
      </c>
      <c r="C18" s="3" t="s">
        <v>157</v>
      </c>
      <c r="D18" s="3" t="s">
        <v>54</v>
      </c>
      <c r="E18" s="8">
        <v>240061</v>
      </c>
      <c r="F18" s="3" t="s">
        <v>59</v>
      </c>
      <c r="G18" s="8" t="s">
        <v>158</v>
      </c>
      <c r="H18" s="3"/>
      <c r="I18" s="3"/>
      <c r="J18" s="3"/>
    </row>
    <row r="19" spans="1:10">
      <c r="A19" s="3">
        <v>999720123</v>
      </c>
      <c r="B19" s="3">
        <v>4</v>
      </c>
      <c r="C19" s="3" t="s">
        <v>159</v>
      </c>
      <c r="D19" s="3" t="s">
        <v>54</v>
      </c>
      <c r="E19" s="8">
        <v>240064</v>
      </c>
      <c r="F19" s="3" t="s">
        <v>59</v>
      </c>
      <c r="G19" s="8" t="s">
        <v>160</v>
      </c>
      <c r="H19" s="3"/>
      <c r="I19" s="3"/>
      <c r="J19" s="3"/>
    </row>
    <row r="20" spans="1:10">
      <c r="A20" s="3">
        <v>931720041</v>
      </c>
      <c r="B20" s="3">
        <v>1</v>
      </c>
      <c r="C20" s="3" t="s">
        <v>175</v>
      </c>
      <c r="D20" s="3" t="s">
        <v>54</v>
      </c>
      <c r="E20" s="8">
        <v>333144</v>
      </c>
      <c r="F20" s="3" t="s">
        <v>54</v>
      </c>
      <c r="G20" s="8" t="s">
        <v>176</v>
      </c>
      <c r="H20" s="3"/>
      <c r="I20" s="3"/>
      <c r="J20" s="3"/>
    </row>
    <row r="21" spans="1:10">
      <c r="A21" s="3">
        <v>920700001</v>
      </c>
      <c r="B21" s="3">
        <v>2</v>
      </c>
      <c r="C21" s="3" t="s">
        <v>177</v>
      </c>
      <c r="D21" s="3" t="s">
        <v>54</v>
      </c>
      <c r="E21" s="8">
        <v>543288</v>
      </c>
      <c r="F21" s="3" t="s">
        <v>54</v>
      </c>
      <c r="G21" s="8" t="s">
        <v>178</v>
      </c>
      <c r="H21" s="3"/>
      <c r="I21" s="3"/>
      <c r="J21" s="3"/>
    </row>
    <row r="22" spans="1:10">
      <c r="A22" s="3">
        <v>953720003</v>
      </c>
      <c r="B22" s="3">
        <v>4</v>
      </c>
      <c r="C22" s="3" t="s">
        <v>149</v>
      </c>
      <c r="D22" s="3" t="s">
        <v>54</v>
      </c>
      <c r="E22" s="8">
        <v>201584</v>
      </c>
      <c r="F22" s="3" t="s">
        <v>54</v>
      </c>
      <c r="G22" s="8" t="s">
        <v>150</v>
      </c>
      <c r="H22" s="3"/>
      <c r="I22" s="3"/>
      <c r="J22" s="3"/>
    </row>
    <row r="23" spans="1:10">
      <c r="A23" s="8"/>
      <c r="B23" s="3">
        <v>16</v>
      </c>
      <c r="C23" s="3" t="s">
        <v>179</v>
      </c>
      <c r="D23" s="3" t="s">
        <v>54</v>
      </c>
      <c r="E23" s="8" t="s">
        <v>180</v>
      </c>
      <c r="F23" s="3" t="s">
        <v>59</v>
      </c>
      <c r="G23" s="8" t="s">
        <v>180</v>
      </c>
      <c r="H23" s="3"/>
      <c r="I23" s="3"/>
      <c r="J23" s="3"/>
    </row>
    <row r="24" spans="1:10">
      <c r="A24" s="8"/>
      <c r="B24" s="3">
        <v>8</v>
      </c>
      <c r="C24" s="3" t="s">
        <v>181</v>
      </c>
      <c r="D24" s="3" t="s">
        <v>54</v>
      </c>
      <c r="E24" s="8" t="s">
        <v>182</v>
      </c>
      <c r="F24" s="3" t="s">
        <v>59</v>
      </c>
      <c r="G24" s="8" t="s">
        <v>182</v>
      </c>
      <c r="H24" s="3"/>
      <c r="I24" s="3"/>
      <c r="J24" s="3"/>
    </row>
    <row r="25" spans="1:10">
      <c r="A25" s="8"/>
      <c r="B25" s="3">
        <v>8</v>
      </c>
      <c r="C25" s="3" t="s">
        <v>183</v>
      </c>
      <c r="D25" s="3" t="s">
        <v>54</v>
      </c>
      <c r="E25" s="8" t="s">
        <v>184</v>
      </c>
      <c r="F25" s="3" t="s">
        <v>59</v>
      </c>
      <c r="G25" s="8" t="s">
        <v>184</v>
      </c>
      <c r="H25" s="3"/>
      <c r="I25" s="3"/>
      <c r="J25" s="3"/>
    </row>
    <row r="26" spans="1:10">
      <c r="A26" s="3">
        <v>954720083</v>
      </c>
      <c r="B26" s="3">
        <v>4</v>
      </c>
      <c r="C26" s="3" t="s">
        <v>185</v>
      </c>
      <c r="D26" s="3" t="s">
        <v>54</v>
      </c>
      <c r="E26" s="8">
        <v>337479</v>
      </c>
      <c r="F26" s="3" t="s">
        <v>54</v>
      </c>
      <c r="G26" s="8" t="s">
        <v>186</v>
      </c>
      <c r="H26" s="3"/>
      <c r="I26" s="3"/>
      <c r="J26" s="3"/>
    </row>
    <row r="27" spans="1:10">
      <c r="A27" s="3">
        <v>955550019</v>
      </c>
      <c r="B27" s="3">
        <v>2</v>
      </c>
      <c r="C27" s="3" t="s">
        <v>187</v>
      </c>
      <c r="D27" s="3" t="s">
        <v>54</v>
      </c>
      <c r="E27" s="8">
        <v>466468</v>
      </c>
      <c r="F27" s="3" t="s">
        <v>54</v>
      </c>
      <c r="G27" s="8" t="s">
        <v>188</v>
      </c>
      <c r="H27" s="3"/>
      <c r="I27" s="3"/>
      <c r="J27" s="3"/>
    </row>
    <row r="28" spans="1:10">
      <c r="A28" s="3">
        <v>910720062</v>
      </c>
      <c r="B28" s="3">
        <v>8</v>
      </c>
      <c r="C28" s="3" t="s">
        <v>155</v>
      </c>
      <c r="D28" s="3" t="s">
        <v>54</v>
      </c>
      <c r="E28" s="8" t="s">
        <v>156</v>
      </c>
      <c r="F28" s="3" t="s">
        <v>59</v>
      </c>
      <c r="G28" s="8" t="s">
        <v>156</v>
      </c>
      <c r="H28" s="3"/>
      <c r="I28" s="3"/>
      <c r="J28" s="3"/>
    </row>
    <row r="29" spans="1:10">
      <c r="A29" s="3">
        <v>955550014</v>
      </c>
      <c r="B29" s="3">
        <v>12</v>
      </c>
      <c r="C29" s="3" t="s">
        <v>189</v>
      </c>
      <c r="D29" s="3" t="s">
        <v>54</v>
      </c>
      <c r="E29" s="8">
        <v>223196</v>
      </c>
      <c r="F29" s="3" t="s">
        <v>59</v>
      </c>
      <c r="G29" s="8" t="s">
        <v>190</v>
      </c>
      <c r="H29" s="3"/>
      <c r="I29" s="3"/>
      <c r="J29" s="3"/>
    </row>
    <row r="30" spans="1:10">
      <c r="A30" s="3">
        <v>954720041</v>
      </c>
      <c r="B30" s="3">
        <v>8</v>
      </c>
      <c r="C30" s="3" t="s">
        <v>191</v>
      </c>
      <c r="D30" s="3" t="s">
        <v>54</v>
      </c>
      <c r="E30" s="8" t="s">
        <v>192</v>
      </c>
      <c r="F30" s="3" t="s">
        <v>59</v>
      </c>
      <c r="G30" s="8" t="s">
        <v>193</v>
      </c>
      <c r="H30" s="3"/>
      <c r="I30" s="3"/>
      <c r="J30" s="3"/>
    </row>
    <row r="31" spans="1:10">
      <c r="A31" s="3">
        <v>999720121</v>
      </c>
      <c r="B31" s="3">
        <v>4</v>
      </c>
      <c r="C31" s="3" t="s">
        <v>194</v>
      </c>
      <c r="D31" s="3" t="s">
        <v>54</v>
      </c>
      <c r="E31" s="8">
        <v>356808</v>
      </c>
      <c r="F31" s="3" t="s">
        <v>54</v>
      </c>
      <c r="G31" s="8" t="s">
        <v>195</v>
      </c>
      <c r="H31" s="3"/>
      <c r="I31" s="3"/>
      <c r="J31" s="3"/>
    </row>
    <row r="32" spans="1:10">
      <c r="A32" s="3">
        <v>955550016</v>
      </c>
      <c r="B32" s="3">
        <v>2</v>
      </c>
      <c r="C32" s="3" t="s">
        <v>196</v>
      </c>
      <c r="D32" s="3" t="s">
        <v>54</v>
      </c>
      <c r="E32" s="8">
        <v>466467</v>
      </c>
      <c r="F32" s="3" t="s">
        <v>54</v>
      </c>
      <c r="G32" s="8" t="s">
        <v>197</v>
      </c>
      <c r="H32" s="3"/>
      <c r="I32" s="3"/>
      <c r="J32" s="3"/>
    </row>
    <row r="33" spans="1:10">
      <c r="A33" s="3">
        <v>999720462</v>
      </c>
      <c r="B33" s="3">
        <v>4</v>
      </c>
      <c r="C33" s="3" t="s">
        <v>198</v>
      </c>
      <c r="D33" s="3" t="s">
        <v>54</v>
      </c>
      <c r="E33" s="8" t="s">
        <v>199</v>
      </c>
      <c r="F33" s="3" t="s">
        <v>59</v>
      </c>
      <c r="G33" s="8" t="s">
        <v>199</v>
      </c>
      <c r="H33" s="3"/>
      <c r="I33" s="3"/>
      <c r="J33" s="3"/>
    </row>
    <row r="34" spans="1:10">
      <c r="A34" s="3">
        <v>999720461</v>
      </c>
      <c r="B34" s="3">
        <v>4</v>
      </c>
      <c r="C34" s="3" t="s">
        <v>200</v>
      </c>
      <c r="D34" s="3" t="s">
        <v>54</v>
      </c>
      <c r="E34" s="8">
        <v>130733</v>
      </c>
      <c r="F34" s="3" t="s">
        <v>59</v>
      </c>
      <c r="G34" s="8" t="s">
        <v>201</v>
      </c>
      <c r="H34" s="3"/>
      <c r="I34" s="3"/>
      <c r="J34" s="3"/>
    </row>
    <row r="35" spans="1:10">
      <c r="A35" s="3">
        <v>910720062</v>
      </c>
      <c r="B35" s="3">
        <v>16</v>
      </c>
      <c r="C35" s="3" t="s">
        <v>155</v>
      </c>
      <c r="D35" s="3" t="s">
        <v>54</v>
      </c>
      <c r="E35" s="8" t="s">
        <v>156</v>
      </c>
      <c r="F35" s="3" t="s">
        <v>59</v>
      </c>
      <c r="G35" s="8" t="s">
        <v>156</v>
      </c>
      <c r="H35" s="3"/>
      <c r="I35" s="3"/>
      <c r="J35" s="3"/>
    </row>
    <row r="36" spans="1:10">
      <c r="A36" s="3">
        <v>954720041</v>
      </c>
      <c r="B36" s="3">
        <v>4</v>
      </c>
      <c r="C36" s="3" t="s">
        <v>191</v>
      </c>
      <c r="D36" s="3" t="s">
        <v>54</v>
      </c>
      <c r="E36" s="8" t="s">
        <v>192</v>
      </c>
      <c r="F36" s="3" t="s">
        <v>59</v>
      </c>
      <c r="G36" s="8" t="s">
        <v>193</v>
      </c>
      <c r="H36" s="3"/>
      <c r="I36" s="3"/>
      <c r="J36" s="3"/>
    </row>
    <row r="37" spans="1:10">
      <c r="A37" s="3">
        <v>999720441</v>
      </c>
      <c r="B37" s="3">
        <v>8</v>
      </c>
      <c r="C37" s="3" t="s">
        <v>166</v>
      </c>
      <c r="D37" s="3" t="s">
        <v>54</v>
      </c>
      <c r="E37" s="8" t="s">
        <v>167</v>
      </c>
      <c r="F37" s="3" t="s">
        <v>59</v>
      </c>
      <c r="G37" s="8" t="s">
        <v>167</v>
      </c>
      <c r="H37" s="3"/>
      <c r="I37" s="3"/>
      <c r="J37" s="3"/>
    </row>
    <row r="38" spans="1:10">
      <c r="A38" s="3">
        <v>992700006</v>
      </c>
      <c r="B38" s="3">
        <v>8</v>
      </c>
      <c r="C38" s="3" t="s">
        <v>153</v>
      </c>
      <c r="D38" s="3" t="s">
        <v>54</v>
      </c>
      <c r="E38" s="8" t="s">
        <v>154</v>
      </c>
      <c r="F38" s="3" t="s">
        <v>59</v>
      </c>
      <c r="G38" s="8" t="s">
        <v>154</v>
      </c>
      <c r="H38" s="3"/>
      <c r="I38" s="3"/>
      <c r="J38" s="3"/>
    </row>
    <row r="39" spans="1:10">
      <c r="A39" s="3">
        <v>952720101</v>
      </c>
      <c r="B39" s="3">
        <v>1</v>
      </c>
      <c r="C39" s="3" t="s">
        <v>202</v>
      </c>
      <c r="D39" s="3" t="s">
        <v>54</v>
      </c>
      <c r="E39" s="8">
        <v>392738</v>
      </c>
      <c r="F39" s="3" t="s">
        <v>54</v>
      </c>
      <c r="G39" s="8" t="s">
        <v>203</v>
      </c>
      <c r="H39" s="3"/>
      <c r="I39" s="3"/>
      <c r="J39" s="3"/>
    </row>
    <row r="40" spans="1:10">
      <c r="A40" s="3">
        <v>911720021</v>
      </c>
      <c r="B40" s="3">
        <v>2</v>
      </c>
      <c r="C40" s="3" t="s">
        <v>204</v>
      </c>
      <c r="D40" s="3" t="s">
        <v>54</v>
      </c>
      <c r="E40" s="8">
        <v>440254</v>
      </c>
      <c r="F40" s="3" t="s">
        <v>54</v>
      </c>
      <c r="G40" s="8">
        <v>440254</v>
      </c>
      <c r="H40" s="3"/>
      <c r="I40" s="3"/>
      <c r="J40" s="3"/>
    </row>
    <row r="41" spans="1:10">
      <c r="A41" s="3">
        <v>915550033</v>
      </c>
      <c r="B41" s="3">
        <v>4</v>
      </c>
      <c r="C41" s="3" t="s">
        <v>205</v>
      </c>
      <c r="D41" s="3" t="s">
        <v>54</v>
      </c>
      <c r="E41" s="8">
        <v>238945</v>
      </c>
      <c r="F41" s="3" t="s">
        <v>54</v>
      </c>
      <c r="G41" s="8" t="s">
        <v>206</v>
      </c>
      <c r="H41" s="3"/>
      <c r="I41" s="3"/>
      <c r="J41" s="3"/>
    </row>
    <row r="42" spans="1:10">
      <c r="A42" s="3">
        <v>911720042</v>
      </c>
      <c r="B42" s="3">
        <v>1</v>
      </c>
      <c r="C42" s="3" t="s">
        <v>207</v>
      </c>
      <c r="D42" s="3" t="s">
        <v>54</v>
      </c>
      <c r="E42" s="8">
        <v>439331</v>
      </c>
      <c r="F42" s="3" t="s">
        <v>54</v>
      </c>
      <c r="G42" s="8" t="s">
        <v>208</v>
      </c>
      <c r="H42" s="3"/>
      <c r="I42" s="3"/>
      <c r="J42" s="3"/>
    </row>
    <row r="43" spans="1:10">
      <c r="A43" s="3">
        <v>914720002</v>
      </c>
      <c r="B43" s="3">
        <v>1</v>
      </c>
      <c r="C43" s="3" t="s">
        <v>209</v>
      </c>
      <c r="D43" s="3" t="s">
        <v>54</v>
      </c>
      <c r="E43" s="8">
        <v>393314</v>
      </c>
      <c r="F43" s="3" t="s">
        <v>54</v>
      </c>
      <c r="G43" s="8" t="s">
        <v>210</v>
      </c>
      <c r="H43" s="3"/>
      <c r="I43" s="3"/>
      <c r="J43" s="3"/>
    </row>
    <row r="44" spans="1:10">
      <c r="A44" s="3">
        <v>999650301</v>
      </c>
      <c r="B44" s="3">
        <v>12</v>
      </c>
      <c r="C44" s="3" t="s">
        <v>211</v>
      </c>
      <c r="D44" s="3" t="s">
        <v>54</v>
      </c>
      <c r="E44" s="8">
        <v>67158</v>
      </c>
      <c r="F44" s="3" t="s">
        <v>54</v>
      </c>
      <c r="G44" s="8" t="s">
        <v>212</v>
      </c>
      <c r="H44" s="3"/>
      <c r="I44" s="3"/>
      <c r="J44" s="3"/>
    </row>
    <row r="45" spans="1:10">
      <c r="A45" s="3">
        <v>986720141</v>
      </c>
      <c r="B45" s="3">
        <v>2</v>
      </c>
      <c r="C45" s="3" t="s">
        <v>213</v>
      </c>
      <c r="D45" s="3" t="s">
        <v>54</v>
      </c>
      <c r="E45" s="8">
        <v>45754</v>
      </c>
      <c r="F45" s="3" t="s">
        <v>214</v>
      </c>
      <c r="G45" s="8" t="s">
        <v>215</v>
      </c>
      <c r="H45" s="3"/>
      <c r="I45" s="3"/>
      <c r="J45" s="3"/>
    </row>
    <row r="46" spans="1:10">
      <c r="A46" s="3">
        <v>921720141</v>
      </c>
      <c r="B46" s="3">
        <v>1</v>
      </c>
      <c r="C46" s="3" t="s">
        <v>216</v>
      </c>
      <c r="D46" s="3" t="s">
        <v>54</v>
      </c>
      <c r="E46" s="8">
        <v>49107</v>
      </c>
      <c r="F46" s="3" t="s">
        <v>214</v>
      </c>
      <c r="G46" s="8" t="s">
        <v>217</v>
      </c>
      <c r="H46" s="3"/>
      <c r="I46" s="3"/>
      <c r="J46" s="3"/>
    </row>
    <row r="47" spans="1:10">
      <c r="A47" s="3">
        <v>999650302</v>
      </c>
      <c r="B47" s="3">
        <v>1</v>
      </c>
      <c r="C47" s="3" t="s">
        <v>218</v>
      </c>
      <c r="D47" s="3" t="s">
        <v>54</v>
      </c>
      <c r="E47" s="8">
        <v>201901</v>
      </c>
      <c r="F47" s="3" t="s">
        <v>214</v>
      </c>
      <c r="G47" s="8" t="s">
        <v>219</v>
      </c>
      <c r="H47" s="3"/>
      <c r="I47" s="3"/>
      <c r="J47" s="3"/>
    </row>
    <row r="48" spans="1:10">
      <c r="A48" s="3">
        <v>986720282</v>
      </c>
      <c r="B48" s="3">
        <v>1</v>
      </c>
      <c r="C48" s="3" t="s">
        <v>220</v>
      </c>
      <c r="D48" s="3" t="s">
        <v>54</v>
      </c>
      <c r="E48" s="8">
        <v>543415</v>
      </c>
      <c r="F48" s="3" t="s">
        <v>54</v>
      </c>
      <c r="G48" s="8" t="s">
        <v>221</v>
      </c>
      <c r="H48" s="3"/>
      <c r="I48" s="3"/>
      <c r="J48" s="3"/>
    </row>
    <row r="49" spans="1:10">
      <c r="A49" s="3">
        <v>986720283</v>
      </c>
      <c r="B49" s="3">
        <v>1</v>
      </c>
      <c r="C49" s="3" t="s">
        <v>222</v>
      </c>
      <c r="D49" s="3" t="s">
        <v>54</v>
      </c>
      <c r="E49" s="8">
        <v>543416</v>
      </c>
      <c r="F49" s="3" t="s">
        <v>54</v>
      </c>
      <c r="G49" s="8" t="s">
        <v>223</v>
      </c>
      <c r="H49" s="3"/>
      <c r="I49" s="3"/>
      <c r="J49" s="3"/>
    </row>
    <row r="50" spans="1:10">
      <c r="A50" s="3">
        <v>986720261</v>
      </c>
      <c r="B50" s="3">
        <v>2</v>
      </c>
      <c r="C50" s="3" t="s">
        <v>224</v>
      </c>
      <c r="D50" s="3" t="s">
        <v>54</v>
      </c>
      <c r="E50" s="8">
        <v>586974</v>
      </c>
      <c r="F50" s="3" t="s">
        <v>54</v>
      </c>
      <c r="G50" s="8" t="s">
        <v>225</v>
      </c>
      <c r="H50" s="3"/>
      <c r="I50" s="3"/>
      <c r="J50" s="3"/>
    </row>
    <row r="51" spans="1:10">
      <c r="A51" s="3">
        <v>968720065</v>
      </c>
      <c r="B51" s="3">
        <v>1</v>
      </c>
      <c r="C51" s="3" t="s">
        <v>226</v>
      </c>
      <c r="D51" s="3" t="s">
        <v>54</v>
      </c>
      <c r="E51" s="8">
        <v>543418</v>
      </c>
      <c r="F51" s="3" t="s">
        <v>54</v>
      </c>
      <c r="G51" s="8" t="s">
        <v>227</v>
      </c>
      <c r="H51" s="3"/>
      <c r="I51" s="3"/>
      <c r="J51" s="3"/>
    </row>
    <row r="52" spans="1:10">
      <c r="A52" s="3">
        <v>986720284</v>
      </c>
      <c r="B52" s="3">
        <v>1</v>
      </c>
      <c r="C52" s="3" t="s">
        <v>228</v>
      </c>
      <c r="D52" s="3" t="s">
        <v>54</v>
      </c>
      <c r="E52" s="8">
        <v>543419</v>
      </c>
      <c r="F52" s="3" t="s">
        <v>54</v>
      </c>
      <c r="G52" s="8" t="s">
        <v>229</v>
      </c>
      <c r="H52" s="3"/>
      <c r="I52" s="3"/>
      <c r="J52" s="3"/>
    </row>
    <row r="53" spans="1:10">
      <c r="A53" s="3">
        <v>935720021</v>
      </c>
      <c r="B53" s="3">
        <v>4</v>
      </c>
      <c r="C53" s="3" t="s">
        <v>230</v>
      </c>
      <c r="D53" s="3" t="s">
        <v>54</v>
      </c>
      <c r="E53" s="8" t="s">
        <v>231</v>
      </c>
      <c r="F53" s="3" t="s">
        <v>59</v>
      </c>
      <c r="G53" s="8" t="s">
        <v>231</v>
      </c>
      <c r="H53" s="3"/>
      <c r="I53" s="3"/>
      <c r="J53" s="3"/>
    </row>
    <row r="54" spans="1:10">
      <c r="A54" s="8"/>
      <c r="B54" s="3">
        <v>4</v>
      </c>
      <c r="C54" s="3" t="s">
        <v>232</v>
      </c>
      <c r="D54" s="3" t="s">
        <v>54</v>
      </c>
      <c r="E54" s="8" t="s">
        <v>233</v>
      </c>
      <c r="F54" s="3" t="s">
        <v>59</v>
      </c>
      <c r="G54" s="8" t="s">
        <v>233</v>
      </c>
      <c r="H54" s="3"/>
      <c r="I54" s="3"/>
      <c r="J54" s="3"/>
    </row>
    <row r="55" spans="1:10">
      <c r="A55" s="3">
        <v>935720002</v>
      </c>
      <c r="B55" s="3">
        <v>1</v>
      </c>
      <c r="C55" s="3" t="s">
        <v>234</v>
      </c>
      <c r="D55" s="3" t="s">
        <v>54</v>
      </c>
      <c r="E55" s="8">
        <v>336047</v>
      </c>
      <c r="F55" s="3" t="s">
        <v>235</v>
      </c>
      <c r="G55" s="8" t="s">
        <v>236</v>
      </c>
      <c r="H55" s="3"/>
      <c r="I55" s="3"/>
      <c r="J55" s="3"/>
    </row>
    <row r="56" spans="1:10">
      <c r="A56" s="3">
        <v>935700003</v>
      </c>
      <c r="B56" s="3">
        <v>1</v>
      </c>
      <c r="C56" s="3" t="s">
        <v>237</v>
      </c>
      <c r="D56" s="3" t="s">
        <v>54</v>
      </c>
      <c r="E56" s="8">
        <v>579980</v>
      </c>
      <c r="F56" s="3" t="s">
        <v>54</v>
      </c>
      <c r="G56" s="8" t="s">
        <v>238</v>
      </c>
      <c r="H56" s="3"/>
      <c r="I56" s="3"/>
      <c r="J56" s="3"/>
    </row>
    <row r="57" spans="1:10">
      <c r="A57" s="3">
        <v>955550041</v>
      </c>
      <c r="B57" s="3">
        <v>1</v>
      </c>
      <c r="C57" s="3" t="s">
        <v>239</v>
      </c>
      <c r="D57" s="3" t="s">
        <v>54</v>
      </c>
      <c r="E57" s="8">
        <v>271966</v>
      </c>
      <c r="F57" s="3" t="s">
        <v>240</v>
      </c>
      <c r="G57" s="8" t="s">
        <v>241</v>
      </c>
      <c r="H57" s="3"/>
      <c r="I57" s="3"/>
      <c r="J57" s="3"/>
    </row>
    <row r="58" spans="1:10">
      <c r="A58" s="3">
        <v>955550006</v>
      </c>
      <c r="B58" s="3">
        <v>1</v>
      </c>
      <c r="C58" s="3" t="s">
        <v>242</v>
      </c>
      <c r="D58" s="3" t="s">
        <v>54</v>
      </c>
      <c r="E58" s="8">
        <v>289316</v>
      </c>
      <c r="F58" s="3" t="s">
        <v>240</v>
      </c>
      <c r="G58" s="8" t="s">
        <v>243</v>
      </c>
      <c r="H58" s="3"/>
      <c r="I58" s="3"/>
      <c r="J58" s="3"/>
    </row>
    <row r="59" spans="1:10">
      <c r="A59" s="3">
        <v>955550006</v>
      </c>
      <c r="B59" s="3">
        <v>1</v>
      </c>
      <c r="C59" s="3" t="s">
        <v>244</v>
      </c>
      <c r="D59" s="3" t="s">
        <v>54</v>
      </c>
      <c r="E59" s="8">
        <v>289316</v>
      </c>
      <c r="F59" s="3" t="s">
        <v>240</v>
      </c>
      <c r="G59" s="8" t="s">
        <v>243</v>
      </c>
      <c r="H59" s="3"/>
      <c r="I59" s="3"/>
      <c r="J59" s="3"/>
    </row>
    <row r="60" spans="1:10">
      <c r="A60" s="3">
        <v>955550081</v>
      </c>
      <c r="B60" s="3">
        <v>1</v>
      </c>
      <c r="C60" s="3" t="s">
        <v>245</v>
      </c>
      <c r="D60" s="3" t="s">
        <v>54</v>
      </c>
      <c r="E60" s="8">
        <v>434960</v>
      </c>
      <c r="F60" s="3" t="s">
        <v>54</v>
      </c>
      <c r="G60" s="8" t="s">
        <v>246</v>
      </c>
      <c r="H60" s="3"/>
      <c r="I60" s="3"/>
      <c r="J60" s="3"/>
    </row>
    <row r="61" spans="1:10">
      <c r="A61" s="3">
        <v>955550082</v>
      </c>
      <c r="B61" s="3">
        <v>1</v>
      </c>
      <c r="C61" s="3" t="s">
        <v>247</v>
      </c>
      <c r="D61" s="3" t="s">
        <v>54</v>
      </c>
      <c r="E61" s="8">
        <v>443988</v>
      </c>
      <c r="F61" s="3" t="s">
        <v>54</v>
      </c>
      <c r="G61" s="8" t="s">
        <v>248</v>
      </c>
      <c r="H61" s="3"/>
      <c r="I61" s="3"/>
      <c r="J61" s="3"/>
    </row>
    <row r="62" spans="1:10">
      <c r="A62" s="3">
        <v>972550616</v>
      </c>
      <c r="B62" s="3">
        <v>1</v>
      </c>
      <c r="C62" s="3" t="s">
        <v>249</v>
      </c>
      <c r="D62" s="3" t="s">
        <v>54</v>
      </c>
      <c r="E62" s="8">
        <v>361853</v>
      </c>
      <c r="F62" s="3" t="s">
        <v>54</v>
      </c>
      <c r="G62" s="8" t="s">
        <v>250</v>
      </c>
      <c r="H62" s="3"/>
      <c r="I62" s="3"/>
      <c r="J62" s="3"/>
    </row>
    <row r="63" spans="1:10">
      <c r="A63" s="3">
        <v>972720154</v>
      </c>
      <c r="B63" s="3">
        <v>1</v>
      </c>
      <c r="C63" s="3" t="s">
        <v>251</v>
      </c>
      <c r="D63" s="3" t="s">
        <v>54</v>
      </c>
      <c r="E63" s="8">
        <v>340681</v>
      </c>
      <c r="F63" s="3" t="s">
        <v>54</v>
      </c>
      <c r="G63" s="8" t="s">
        <v>252</v>
      </c>
      <c r="H63" s="3"/>
      <c r="I63" s="3"/>
      <c r="J63" s="3"/>
    </row>
    <row r="64" spans="1:10">
      <c r="A64" s="3">
        <v>972721504</v>
      </c>
      <c r="B64" s="3">
        <v>1</v>
      </c>
      <c r="C64" s="3" t="s">
        <v>253</v>
      </c>
      <c r="D64" s="3" t="s">
        <v>54</v>
      </c>
      <c r="E64" s="8">
        <v>341096</v>
      </c>
      <c r="F64" s="3" t="s">
        <v>54</v>
      </c>
      <c r="G64" s="8" t="s">
        <v>254</v>
      </c>
      <c r="H64" s="3"/>
      <c r="I64" s="3"/>
      <c r="J64" s="3"/>
    </row>
    <row r="65" spans="1:10">
      <c r="A65" s="3">
        <v>972721505</v>
      </c>
      <c r="B65" s="3">
        <v>1</v>
      </c>
      <c r="C65" s="3" t="s">
        <v>255</v>
      </c>
      <c r="D65" s="3" t="s">
        <v>54</v>
      </c>
      <c r="E65" s="8">
        <v>341133</v>
      </c>
      <c r="F65" s="3" t="s">
        <v>54</v>
      </c>
      <c r="G65" s="8" t="s">
        <v>256</v>
      </c>
      <c r="H65" s="3"/>
      <c r="I65" s="3"/>
      <c r="J65" s="3"/>
    </row>
    <row r="66" spans="1:10">
      <c r="A66" s="3">
        <v>972550614</v>
      </c>
      <c r="B66" s="3">
        <v>2</v>
      </c>
      <c r="C66" s="3" t="s">
        <v>251</v>
      </c>
      <c r="D66" s="3" t="s">
        <v>54</v>
      </c>
      <c r="E66" s="8">
        <v>505318</v>
      </c>
      <c r="F66" s="3" t="s">
        <v>54</v>
      </c>
      <c r="G66" s="8" t="s">
        <v>257</v>
      </c>
      <c r="H66" s="3"/>
      <c r="I66" s="3"/>
      <c r="J66" s="3"/>
    </row>
    <row r="67" spans="1:10">
      <c r="A67" s="8"/>
      <c r="B67" s="3">
        <v>2</v>
      </c>
      <c r="C67" s="3" t="s">
        <v>258</v>
      </c>
      <c r="D67" s="3" t="s">
        <v>54</v>
      </c>
      <c r="E67" s="8">
        <v>599795</v>
      </c>
      <c r="F67" s="3" t="s">
        <v>54</v>
      </c>
      <c r="G67" s="8">
        <v>599795</v>
      </c>
      <c r="H67" s="3"/>
      <c r="I67" s="3"/>
      <c r="J67" s="3"/>
    </row>
    <row r="68" spans="1:10" ht="33.75" customHeight="1">
      <c r="A68" s="83" t="s">
        <v>96</v>
      </c>
      <c r="B68" s="83"/>
      <c r="C68" s="83"/>
      <c r="D68" s="83"/>
      <c r="E68" s="83"/>
      <c r="F68" s="83"/>
      <c r="G68" s="83"/>
      <c r="H68" s="83"/>
      <c r="I68" s="83"/>
      <c r="J68" s="83"/>
    </row>
  </sheetData>
  <mergeCells count="10">
    <mergeCell ref="A68:J68"/>
    <mergeCell ref="A1:G1"/>
    <mergeCell ref="H1:J1"/>
    <mergeCell ref="A2:A3"/>
    <mergeCell ref="B2:B3"/>
    <mergeCell ref="C2:C3"/>
    <mergeCell ref="D2:E2"/>
    <mergeCell ref="F2:G2"/>
    <mergeCell ref="H2:H3"/>
    <mergeCell ref="I2:J2"/>
  </mergeCells>
  <pageMargins left="0.7" right="0.7" top="0.72562499999999996" bottom="0.75" header="0.3" footer="0.3"/>
  <pageSetup scale="71" fitToHeight="0" orientation="landscape" r:id="rId1"/>
  <headerFooter>
    <oddHeader>&amp;C&amp;"-,Bold"MIDLIFE OVERHAUL 2015-16 NEW FLYER XN40 (SR1947: 2830-2993)</oddHeader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132B8-8E57-4BA9-82CE-49F5FCD55B6D}">
  <sheetPr>
    <pageSetUpPr fitToPage="1"/>
  </sheetPr>
  <dimension ref="A1:J23"/>
  <sheetViews>
    <sheetView view="pageLayout" zoomScaleNormal="100" workbookViewId="0">
      <selection activeCell="C26" sqref="C26"/>
    </sheetView>
  </sheetViews>
  <sheetFormatPr defaultColWidth="12.5703125" defaultRowHeight="14.45"/>
  <cols>
    <col min="2" max="2" width="4.28515625" bestFit="1" customWidth="1"/>
    <col min="3" max="3" width="42.140625" customWidth="1"/>
    <col min="4" max="4" width="24" customWidth="1"/>
    <col min="5" max="5" width="9.85546875" customWidth="1"/>
    <col min="6" max="6" width="29.85546875" customWidth="1"/>
    <col min="7" max="7" width="17.140625" customWidth="1"/>
  </cols>
  <sheetData>
    <row r="1" spans="1:10" ht="15" customHeight="1">
      <c r="A1" s="76" t="s">
        <v>259</v>
      </c>
      <c r="B1" s="77"/>
      <c r="C1" s="77"/>
      <c r="D1" s="77"/>
      <c r="E1" s="77"/>
      <c r="F1" s="77"/>
      <c r="G1" s="78"/>
      <c r="H1" s="82" t="s">
        <v>41</v>
      </c>
      <c r="I1" s="73"/>
      <c r="J1" s="74"/>
    </row>
    <row r="2" spans="1:10">
      <c r="A2" s="72" t="s">
        <v>98</v>
      </c>
      <c r="B2" s="72" t="s">
        <v>43</v>
      </c>
      <c r="C2" s="72" t="s">
        <v>44</v>
      </c>
      <c r="D2" s="82" t="s">
        <v>45</v>
      </c>
      <c r="E2" s="74"/>
      <c r="F2" s="73" t="s">
        <v>46</v>
      </c>
      <c r="G2" s="74"/>
      <c r="H2" s="72" t="s">
        <v>47</v>
      </c>
      <c r="I2" s="75" t="s">
        <v>48</v>
      </c>
      <c r="J2" s="75"/>
    </row>
    <row r="3" spans="1:10">
      <c r="A3" s="72"/>
      <c r="B3" s="72"/>
      <c r="C3" s="72"/>
      <c r="D3" s="1" t="s">
        <v>49</v>
      </c>
      <c r="E3" s="9" t="s">
        <v>50</v>
      </c>
      <c r="F3" s="1" t="s">
        <v>49</v>
      </c>
      <c r="G3" s="1" t="s">
        <v>50</v>
      </c>
      <c r="H3" s="72"/>
      <c r="I3" s="2" t="s">
        <v>51</v>
      </c>
      <c r="J3" s="2" t="s">
        <v>52</v>
      </c>
    </row>
    <row r="4" spans="1:10">
      <c r="A4" s="8">
        <v>952550005</v>
      </c>
      <c r="B4" s="3">
        <v>2</v>
      </c>
      <c r="C4" s="3" t="s">
        <v>260</v>
      </c>
      <c r="D4" s="7" t="s">
        <v>54</v>
      </c>
      <c r="E4" s="3">
        <v>498170</v>
      </c>
      <c r="F4" s="7" t="s">
        <v>261</v>
      </c>
      <c r="G4" s="8" t="s">
        <v>262</v>
      </c>
      <c r="H4" s="3"/>
      <c r="I4" s="3"/>
      <c r="J4" s="3"/>
    </row>
    <row r="5" spans="1:10">
      <c r="A5" s="8">
        <v>955720001</v>
      </c>
      <c r="B5" s="3">
        <v>2</v>
      </c>
      <c r="C5" s="3" t="s">
        <v>263</v>
      </c>
      <c r="D5" s="7" t="s">
        <v>54</v>
      </c>
      <c r="E5" s="3">
        <v>303734</v>
      </c>
      <c r="F5" s="7" t="s">
        <v>264</v>
      </c>
      <c r="G5" s="8" t="s">
        <v>265</v>
      </c>
      <c r="H5" s="3"/>
      <c r="I5" s="3"/>
      <c r="J5" s="3"/>
    </row>
    <row r="6" spans="1:10">
      <c r="A6" s="8">
        <v>835350014</v>
      </c>
      <c r="B6" s="3">
        <v>2</v>
      </c>
      <c r="C6" s="3" t="s">
        <v>266</v>
      </c>
      <c r="D6" s="7" t="s">
        <v>54</v>
      </c>
      <c r="E6" s="3">
        <v>5956114</v>
      </c>
      <c r="F6" s="7" t="s">
        <v>267</v>
      </c>
      <c r="G6" s="8" t="s">
        <v>268</v>
      </c>
      <c r="H6" s="3"/>
      <c r="I6" s="3"/>
      <c r="J6" s="3"/>
    </row>
    <row r="7" spans="1:10">
      <c r="A7" s="8">
        <v>999550115</v>
      </c>
      <c r="B7" s="3">
        <v>2</v>
      </c>
      <c r="C7" s="3" t="s">
        <v>269</v>
      </c>
      <c r="D7" s="7" t="s">
        <v>54</v>
      </c>
      <c r="E7" s="3">
        <v>5956376</v>
      </c>
      <c r="F7" s="7" t="s">
        <v>270</v>
      </c>
      <c r="G7" s="8" t="s">
        <v>271</v>
      </c>
      <c r="H7" s="3"/>
      <c r="I7" s="3"/>
      <c r="J7" s="3"/>
    </row>
    <row r="8" spans="1:10">
      <c r="A8" s="8">
        <v>986700222</v>
      </c>
      <c r="B8" s="3">
        <v>2</v>
      </c>
      <c r="C8" s="3" t="s">
        <v>272</v>
      </c>
      <c r="D8" s="7" t="s">
        <v>54</v>
      </c>
      <c r="E8" s="3">
        <v>5953854</v>
      </c>
      <c r="F8" s="7" t="s">
        <v>267</v>
      </c>
      <c r="G8" s="8" t="s">
        <v>273</v>
      </c>
      <c r="H8" s="3"/>
      <c r="I8" s="3"/>
      <c r="J8" s="3"/>
    </row>
    <row r="9" spans="1:10">
      <c r="A9" s="8">
        <v>943550001</v>
      </c>
      <c r="B9" s="3">
        <v>20</v>
      </c>
      <c r="C9" s="3" t="s">
        <v>274</v>
      </c>
      <c r="D9" s="7" t="s">
        <v>54</v>
      </c>
      <c r="E9" s="3">
        <v>38115</v>
      </c>
      <c r="F9" s="7" t="s">
        <v>275</v>
      </c>
      <c r="G9" s="8" t="s">
        <v>276</v>
      </c>
      <c r="H9" s="3"/>
      <c r="I9" s="3"/>
      <c r="J9" s="3"/>
    </row>
    <row r="10" spans="1:10">
      <c r="A10" s="8">
        <v>940700001</v>
      </c>
      <c r="B10" s="3">
        <v>2</v>
      </c>
      <c r="C10" s="3" t="s">
        <v>277</v>
      </c>
      <c r="D10" s="7" t="s">
        <v>54</v>
      </c>
      <c r="E10" s="3">
        <v>349635</v>
      </c>
      <c r="F10" s="7" t="s">
        <v>275</v>
      </c>
      <c r="G10" s="8" t="s">
        <v>278</v>
      </c>
      <c r="H10" s="3"/>
      <c r="I10" s="3"/>
      <c r="J10" s="3"/>
    </row>
    <row r="11" spans="1:10">
      <c r="A11" s="8">
        <v>953710001</v>
      </c>
      <c r="B11" s="3">
        <v>4</v>
      </c>
      <c r="C11" s="3" t="s">
        <v>260</v>
      </c>
      <c r="D11" s="7" t="s">
        <v>54</v>
      </c>
      <c r="E11" s="3">
        <v>498171</v>
      </c>
      <c r="F11" s="7" t="s">
        <v>261</v>
      </c>
      <c r="G11" s="8" t="s">
        <v>279</v>
      </c>
      <c r="H11" s="3"/>
      <c r="I11" s="3"/>
      <c r="J11" s="3"/>
    </row>
    <row r="12" spans="1:10">
      <c r="A12" s="8">
        <v>955720001</v>
      </c>
      <c r="B12" s="3">
        <v>4</v>
      </c>
      <c r="C12" s="3" t="s">
        <v>280</v>
      </c>
      <c r="D12" s="7" t="s">
        <v>54</v>
      </c>
      <c r="E12" s="3">
        <v>303734</v>
      </c>
      <c r="F12" s="7" t="s">
        <v>264</v>
      </c>
      <c r="G12" s="8" t="s">
        <v>265</v>
      </c>
      <c r="H12" s="3"/>
      <c r="I12" s="3"/>
      <c r="J12" s="3"/>
    </row>
    <row r="13" spans="1:10">
      <c r="A13" s="8">
        <v>999550115</v>
      </c>
      <c r="B13" s="3">
        <v>2</v>
      </c>
      <c r="C13" s="3" t="s">
        <v>269</v>
      </c>
      <c r="D13" s="7" t="s">
        <v>54</v>
      </c>
      <c r="E13" s="3">
        <v>5956376</v>
      </c>
      <c r="F13" s="7" t="s">
        <v>270</v>
      </c>
      <c r="G13" s="8" t="s">
        <v>271</v>
      </c>
      <c r="H13" s="3"/>
      <c r="I13" s="3"/>
      <c r="J13" s="3"/>
    </row>
    <row r="14" spans="1:10">
      <c r="A14" s="8">
        <v>835350014</v>
      </c>
      <c r="B14" s="3">
        <v>2</v>
      </c>
      <c r="C14" s="3" t="s">
        <v>281</v>
      </c>
      <c r="D14" s="7" t="s">
        <v>54</v>
      </c>
      <c r="E14" s="3">
        <v>5956114</v>
      </c>
      <c r="F14" s="7" t="s">
        <v>267</v>
      </c>
      <c r="G14" s="8" t="s">
        <v>268</v>
      </c>
      <c r="H14" s="3"/>
      <c r="I14" s="3"/>
      <c r="J14" s="3"/>
    </row>
    <row r="15" spans="1:10">
      <c r="A15" s="8">
        <v>954720001</v>
      </c>
      <c r="B15" s="3">
        <v>2</v>
      </c>
      <c r="C15" s="3" t="s">
        <v>282</v>
      </c>
      <c r="D15" s="7" t="s">
        <v>54</v>
      </c>
      <c r="E15" s="3">
        <v>5956172</v>
      </c>
      <c r="F15" s="7" t="s">
        <v>267</v>
      </c>
      <c r="G15" s="8" t="s">
        <v>283</v>
      </c>
      <c r="H15" s="3"/>
      <c r="I15" s="3"/>
      <c r="J15" s="3"/>
    </row>
    <row r="16" spans="1:10">
      <c r="A16" s="8">
        <v>920720042</v>
      </c>
      <c r="B16" s="3">
        <v>2</v>
      </c>
      <c r="C16" s="3" t="s">
        <v>284</v>
      </c>
      <c r="D16" s="7" t="s">
        <v>54</v>
      </c>
      <c r="E16" s="3">
        <v>85269</v>
      </c>
      <c r="F16" s="7" t="s">
        <v>267</v>
      </c>
      <c r="G16" s="8" t="s">
        <v>285</v>
      </c>
      <c r="H16" s="3"/>
      <c r="I16" s="3"/>
      <c r="J16" s="3"/>
    </row>
    <row r="17" spans="1:10">
      <c r="A17" s="8"/>
      <c r="B17" s="3">
        <v>4</v>
      </c>
      <c r="C17" s="3" t="s">
        <v>286</v>
      </c>
      <c r="D17" s="7" t="s">
        <v>54</v>
      </c>
      <c r="E17" s="3">
        <v>6335506</v>
      </c>
      <c r="F17" s="7" t="s">
        <v>267</v>
      </c>
      <c r="G17" s="8" t="s">
        <v>287</v>
      </c>
      <c r="H17" s="3"/>
      <c r="I17" s="3"/>
      <c r="J17" s="3"/>
    </row>
    <row r="18" spans="1:10">
      <c r="A18" s="8">
        <v>921720043</v>
      </c>
      <c r="B18" s="3">
        <v>2</v>
      </c>
      <c r="C18" s="3" t="s">
        <v>288</v>
      </c>
      <c r="D18" s="7" t="s">
        <v>54</v>
      </c>
      <c r="E18" s="3">
        <v>467971</v>
      </c>
      <c r="F18" s="10" t="s">
        <v>289</v>
      </c>
      <c r="G18" s="11" t="s">
        <v>290</v>
      </c>
      <c r="H18" s="3"/>
      <c r="I18" s="3"/>
      <c r="J18" s="3"/>
    </row>
    <row r="19" spans="1:10">
      <c r="A19" s="8">
        <v>986720201</v>
      </c>
      <c r="B19" s="3">
        <v>2</v>
      </c>
      <c r="C19" s="3" t="s">
        <v>291</v>
      </c>
      <c r="D19" s="7" t="s">
        <v>54</v>
      </c>
      <c r="E19" s="3">
        <v>40445</v>
      </c>
      <c r="F19" s="7" t="s">
        <v>270</v>
      </c>
      <c r="G19" s="8" t="s">
        <v>292</v>
      </c>
      <c r="H19" s="3"/>
      <c r="I19" s="3"/>
      <c r="J19" s="3"/>
    </row>
    <row r="20" spans="1:10">
      <c r="A20" s="8">
        <v>921700061</v>
      </c>
      <c r="B20" s="3">
        <v>2</v>
      </c>
      <c r="C20" s="3" t="s">
        <v>293</v>
      </c>
      <c r="D20" s="7" t="s">
        <v>54</v>
      </c>
      <c r="E20" s="3">
        <v>5953348</v>
      </c>
      <c r="F20" s="7" t="s">
        <v>294</v>
      </c>
      <c r="G20" s="8" t="s">
        <v>295</v>
      </c>
      <c r="H20" s="3"/>
      <c r="I20" s="3"/>
      <c r="J20" s="3"/>
    </row>
    <row r="21" spans="1:10">
      <c r="A21" s="8"/>
      <c r="B21" s="3">
        <v>4</v>
      </c>
      <c r="C21" s="3" t="s">
        <v>277</v>
      </c>
      <c r="D21" s="7" t="s">
        <v>54</v>
      </c>
      <c r="E21" s="3">
        <v>349635</v>
      </c>
      <c r="F21" s="7" t="s">
        <v>275</v>
      </c>
      <c r="G21" s="8" t="s">
        <v>278</v>
      </c>
      <c r="H21" s="3"/>
      <c r="I21" s="3"/>
      <c r="J21" s="3"/>
    </row>
    <row r="22" spans="1:10">
      <c r="A22" s="8">
        <v>943550007</v>
      </c>
      <c r="B22" s="3">
        <v>20</v>
      </c>
      <c r="C22" s="3" t="s">
        <v>296</v>
      </c>
      <c r="D22" s="7" t="s">
        <v>54</v>
      </c>
      <c r="E22" s="3">
        <v>38114</v>
      </c>
      <c r="F22" s="7" t="s">
        <v>275</v>
      </c>
      <c r="G22" s="8" t="s">
        <v>297</v>
      </c>
      <c r="H22" s="3"/>
      <c r="I22" s="3"/>
      <c r="J22" s="3"/>
    </row>
    <row r="23" spans="1:10" ht="36.75" customHeight="1">
      <c r="A23" s="83" t="s">
        <v>96</v>
      </c>
      <c r="B23" s="83"/>
      <c r="C23" s="83"/>
      <c r="D23" s="83"/>
      <c r="E23" s="83"/>
      <c r="F23" s="83"/>
      <c r="G23" s="83"/>
      <c r="H23" s="83"/>
      <c r="I23" s="83"/>
      <c r="J23" s="83"/>
    </row>
  </sheetData>
  <mergeCells count="10">
    <mergeCell ref="A23:J23"/>
    <mergeCell ref="A1:G1"/>
    <mergeCell ref="H1:J1"/>
    <mergeCell ref="A2:A3"/>
    <mergeCell ref="B2:B3"/>
    <mergeCell ref="C2:C3"/>
    <mergeCell ref="D2:E2"/>
    <mergeCell ref="F2:G2"/>
    <mergeCell ref="H2:H3"/>
    <mergeCell ref="I2:J2"/>
  </mergeCells>
  <pageMargins left="0.7" right="0.7" top="0.75" bottom="0.75" header="0.3" footer="0.3"/>
  <pageSetup scale="68" fitToHeight="0" orientation="landscape" r:id="rId1"/>
  <headerFooter>
    <oddHeader>&amp;C&amp;"-,Bold"MIDLIFE OVERHAUL 2015-16 NEW FLYER XN40 (2830-2993)</oddHeader>
    <oddFooter>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DF4B7-8711-4858-9AF7-28DBCEC2C60A}">
  <sheetPr>
    <pageSetUpPr fitToPage="1"/>
  </sheetPr>
  <dimension ref="A1:J124"/>
  <sheetViews>
    <sheetView view="pageLayout" zoomScaleNormal="100" workbookViewId="0">
      <selection activeCell="C28" sqref="C28"/>
    </sheetView>
  </sheetViews>
  <sheetFormatPr defaultRowHeight="14.45"/>
  <cols>
    <col min="1" max="1" width="11.28515625" customWidth="1"/>
    <col min="2" max="2" width="5.5703125" customWidth="1"/>
    <col min="3" max="3" width="46.7109375" bestFit="1" customWidth="1"/>
    <col min="4" max="4" width="25.28515625" customWidth="1"/>
    <col min="5" max="5" width="10.7109375" customWidth="1"/>
    <col min="6" max="6" width="32.42578125" customWidth="1"/>
    <col min="7" max="7" width="24.42578125" customWidth="1"/>
    <col min="8" max="8" width="12.5703125" customWidth="1"/>
    <col min="9" max="9" width="10.28515625" customWidth="1"/>
    <col min="10" max="10" width="10.85546875" customWidth="1"/>
  </cols>
  <sheetData>
    <row r="1" spans="1:10" ht="15" customHeight="1">
      <c r="A1" s="76" t="s">
        <v>298</v>
      </c>
      <c r="B1" s="77"/>
      <c r="C1" s="77"/>
      <c r="D1" s="77"/>
      <c r="E1" s="77"/>
      <c r="F1" s="77"/>
      <c r="G1" s="78"/>
      <c r="H1" s="82" t="s">
        <v>41</v>
      </c>
      <c r="I1" s="73"/>
      <c r="J1" s="74"/>
    </row>
    <row r="2" spans="1:10">
      <c r="A2" s="72" t="s">
        <v>98</v>
      </c>
      <c r="B2" s="72" t="s">
        <v>43</v>
      </c>
      <c r="C2" s="72" t="s">
        <v>44</v>
      </c>
      <c r="D2" s="72" t="s">
        <v>45</v>
      </c>
      <c r="E2" s="72"/>
      <c r="F2" s="73" t="s">
        <v>46</v>
      </c>
      <c r="G2" s="74"/>
      <c r="H2" s="72" t="s">
        <v>47</v>
      </c>
      <c r="I2" s="75" t="s">
        <v>48</v>
      </c>
      <c r="J2" s="75"/>
    </row>
    <row r="3" spans="1:10">
      <c r="A3" s="72"/>
      <c r="B3" s="72"/>
      <c r="C3" s="72"/>
      <c r="D3" s="1" t="s">
        <v>49</v>
      </c>
      <c r="E3" s="1" t="s">
        <v>50</v>
      </c>
      <c r="F3" s="1" t="s">
        <v>49</v>
      </c>
      <c r="G3" s="1" t="s">
        <v>50</v>
      </c>
      <c r="H3" s="72"/>
      <c r="I3" s="2" t="s">
        <v>51</v>
      </c>
      <c r="J3" s="2" t="s">
        <v>52</v>
      </c>
    </row>
    <row r="4" spans="1:10">
      <c r="A4" s="8"/>
      <c r="B4" s="3">
        <v>1</v>
      </c>
      <c r="C4" s="3" t="s">
        <v>299</v>
      </c>
      <c r="D4" s="3" t="s">
        <v>54</v>
      </c>
      <c r="E4" s="8">
        <v>511120</v>
      </c>
      <c r="F4" s="3" t="s">
        <v>54</v>
      </c>
      <c r="G4" s="8" t="s">
        <v>300</v>
      </c>
      <c r="H4" s="3"/>
      <c r="I4" s="3"/>
      <c r="J4" s="3"/>
    </row>
    <row r="5" spans="1:10">
      <c r="A5" s="8"/>
      <c r="B5" s="3">
        <v>4</v>
      </c>
      <c r="C5" s="3" t="s">
        <v>301</v>
      </c>
      <c r="D5" s="3" t="s">
        <v>54</v>
      </c>
      <c r="E5" s="8" t="s">
        <v>302</v>
      </c>
      <c r="F5" s="3" t="s">
        <v>59</v>
      </c>
      <c r="G5" s="8" t="s">
        <v>302</v>
      </c>
      <c r="H5" s="3"/>
      <c r="I5" s="3"/>
      <c r="J5" s="3"/>
    </row>
    <row r="6" spans="1:10">
      <c r="A6" s="8"/>
      <c r="B6" s="3">
        <v>2</v>
      </c>
      <c r="C6" s="3" t="s">
        <v>303</v>
      </c>
      <c r="D6" s="3" t="s">
        <v>54</v>
      </c>
      <c r="E6" s="8" t="s">
        <v>304</v>
      </c>
      <c r="F6" s="3" t="s">
        <v>59</v>
      </c>
      <c r="G6" s="8" t="s">
        <v>304</v>
      </c>
      <c r="H6" s="3"/>
      <c r="I6" s="3"/>
      <c r="J6" s="3"/>
    </row>
    <row r="7" spans="1:10">
      <c r="A7" s="8"/>
      <c r="B7" s="3">
        <v>10</v>
      </c>
      <c r="C7" s="3" t="s">
        <v>305</v>
      </c>
      <c r="D7" s="3" t="s">
        <v>54</v>
      </c>
      <c r="E7" s="8" t="s">
        <v>306</v>
      </c>
      <c r="F7" s="3" t="s">
        <v>59</v>
      </c>
      <c r="G7" s="8" t="s">
        <v>306</v>
      </c>
      <c r="H7" s="3"/>
      <c r="I7" s="3"/>
      <c r="J7" s="3"/>
    </row>
    <row r="8" spans="1:10">
      <c r="A8" s="8">
        <v>910720062</v>
      </c>
      <c r="B8" s="3">
        <v>4</v>
      </c>
      <c r="C8" s="3" t="s">
        <v>155</v>
      </c>
      <c r="D8" s="3" t="s">
        <v>54</v>
      </c>
      <c r="E8" s="8" t="s">
        <v>156</v>
      </c>
      <c r="F8" s="3" t="s">
        <v>59</v>
      </c>
      <c r="G8" s="8" t="s">
        <v>156</v>
      </c>
      <c r="H8" s="3"/>
      <c r="I8" s="3"/>
      <c r="J8" s="3"/>
    </row>
    <row r="9" spans="1:10">
      <c r="A9" s="8"/>
      <c r="B9" s="3">
        <v>6</v>
      </c>
      <c r="C9" s="3" t="s">
        <v>307</v>
      </c>
      <c r="D9" s="3" t="s">
        <v>54</v>
      </c>
      <c r="E9" s="8" t="s">
        <v>308</v>
      </c>
      <c r="F9" s="3" t="s">
        <v>59</v>
      </c>
      <c r="G9" s="8" t="s">
        <v>308</v>
      </c>
      <c r="H9" s="3"/>
      <c r="I9" s="3"/>
      <c r="J9" s="3"/>
    </row>
    <row r="10" spans="1:10">
      <c r="A10" s="8"/>
      <c r="B10" s="3">
        <v>2</v>
      </c>
      <c r="C10" s="3" t="s">
        <v>309</v>
      </c>
      <c r="D10" s="3" t="s">
        <v>54</v>
      </c>
      <c r="E10" s="8" t="s">
        <v>310</v>
      </c>
      <c r="F10" s="3" t="s">
        <v>59</v>
      </c>
      <c r="G10" s="8" t="s">
        <v>310</v>
      </c>
      <c r="H10" s="3"/>
      <c r="I10" s="3"/>
      <c r="J10" s="3"/>
    </row>
    <row r="11" spans="1:10">
      <c r="A11" s="8">
        <v>842550011</v>
      </c>
      <c r="B11" s="3">
        <v>2</v>
      </c>
      <c r="C11" s="3" t="s">
        <v>311</v>
      </c>
      <c r="D11" s="3" t="s">
        <v>54</v>
      </c>
      <c r="E11" s="8">
        <v>205042</v>
      </c>
      <c r="F11" s="3" t="s">
        <v>312</v>
      </c>
      <c r="G11" s="8" t="s">
        <v>313</v>
      </c>
      <c r="H11" s="3"/>
      <c r="I11" s="3"/>
      <c r="J11" s="3"/>
    </row>
    <row r="12" spans="1:10">
      <c r="A12" s="8">
        <v>842720074</v>
      </c>
      <c r="B12" s="3">
        <v>1</v>
      </c>
      <c r="C12" s="3" t="s">
        <v>314</v>
      </c>
      <c r="D12" s="3" t="s">
        <v>54</v>
      </c>
      <c r="E12" s="8">
        <v>331992</v>
      </c>
      <c r="F12" s="3" t="s">
        <v>54</v>
      </c>
      <c r="G12" s="8" t="s">
        <v>315</v>
      </c>
      <c r="H12" s="3"/>
      <c r="I12" s="3"/>
      <c r="J12" s="3"/>
    </row>
    <row r="13" spans="1:10">
      <c r="A13" s="8">
        <v>843550001</v>
      </c>
      <c r="B13" s="3">
        <v>1</v>
      </c>
      <c r="C13" s="3" t="s">
        <v>316</v>
      </c>
      <c r="D13" s="3" t="s">
        <v>54</v>
      </c>
      <c r="E13" s="8">
        <v>495287</v>
      </c>
      <c r="F13" s="3" t="s">
        <v>54</v>
      </c>
      <c r="G13" s="8" t="s">
        <v>317</v>
      </c>
      <c r="H13" s="3"/>
      <c r="I13" s="3"/>
      <c r="J13" s="3"/>
    </row>
    <row r="14" spans="1:10">
      <c r="A14" s="8"/>
      <c r="B14" s="3">
        <v>1</v>
      </c>
      <c r="C14" s="3" t="s">
        <v>318</v>
      </c>
      <c r="D14" s="3" t="s">
        <v>54</v>
      </c>
      <c r="E14" s="8">
        <v>106427</v>
      </c>
      <c r="F14" s="3" t="s">
        <v>319</v>
      </c>
      <c r="G14" s="8" t="s">
        <v>320</v>
      </c>
      <c r="H14" s="3"/>
      <c r="I14" s="3"/>
      <c r="J14" s="3"/>
    </row>
    <row r="15" spans="1:10">
      <c r="A15" s="8">
        <v>842720025</v>
      </c>
      <c r="B15" s="3">
        <v>1</v>
      </c>
      <c r="C15" s="3" t="s">
        <v>321</v>
      </c>
      <c r="D15" s="3" t="s">
        <v>54</v>
      </c>
      <c r="E15" s="8">
        <v>5952619</v>
      </c>
      <c r="F15" s="3" t="s">
        <v>322</v>
      </c>
      <c r="G15" s="8" t="s">
        <v>323</v>
      </c>
      <c r="H15" s="3"/>
      <c r="I15" s="3"/>
      <c r="J15" s="3"/>
    </row>
    <row r="16" spans="1:10">
      <c r="A16" s="8">
        <v>824550095</v>
      </c>
      <c r="B16" s="3">
        <v>1</v>
      </c>
      <c r="C16" s="3" t="s">
        <v>324</v>
      </c>
      <c r="D16" s="3" t="s">
        <v>54</v>
      </c>
      <c r="E16" s="8">
        <v>34530</v>
      </c>
      <c r="F16" s="3" t="s">
        <v>319</v>
      </c>
      <c r="G16" s="8" t="s">
        <v>325</v>
      </c>
      <c r="H16" s="3"/>
      <c r="I16" s="3"/>
      <c r="J16" s="3"/>
    </row>
    <row r="17" spans="1:10">
      <c r="A17" s="8">
        <v>836700010</v>
      </c>
      <c r="B17" s="3">
        <v>1</v>
      </c>
      <c r="C17" s="3" t="s">
        <v>326</v>
      </c>
      <c r="D17" s="3" t="s">
        <v>54</v>
      </c>
      <c r="E17" s="8">
        <v>42027</v>
      </c>
      <c r="F17" s="3" t="s">
        <v>54</v>
      </c>
      <c r="G17" s="8" t="s">
        <v>327</v>
      </c>
      <c r="H17" s="3"/>
      <c r="I17" s="3"/>
      <c r="J17" s="3"/>
    </row>
    <row r="18" spans="1:10">
      <c r="A18" s="8">
        <v>999700001</v>
      </c>
      <c r="B18" s="3">
        <v>2</v>
      </c>
      <c r="C18" s="3" t="s">
        <v>328</v>
      </c>
      <c r="D18" s="3" t="s">
        <v>54</v>
      </c>
      <c r="E18" s="8">
        <v>575053</v>
      </c>
      <c r="F18" s="3" t="s">
        <v>329</v>
      </c>
      <c r="G18" s="8" t="s">
        <v>330</v>
      </c>
      <c r="H18" s="3"/>
      <c r="I18" s="3"/>
      <c r="J18" s="3"/>
    </row>
    <row r="19" spans="1:10">
      <c r="A19" s="8">
        <v>986720141</v>
      </c>
      <c r="B19" s="3">
        <v>2</v>
      </c>
      <c r="C19" s="3" t="s">
        <v>213</v>
      </c>
      <c r="D19" s="3" t="s">
        <v>54</v>
      </c>
      <c r="E19" s="8">
        <v>45754</v>
      </c>
      <c r="F19" s="3" t="s">
        <v>214</v>
      </c>
      <c r="G19" s="8" t="s">
        <v>215</v>
      </c>
      <c r="H19" s="3"/>
      <c r="I19" s="3"/>
      <c r="J19" s="3"/>
    </row>
    <row r="20" spans="1:10">
      <c r="A20" s="8">
        <v>901700001</v>
      </c>
      <c r="B20" s="3">
        <v>1</v>
      </c>
      <c r="C20" s="3" t="s">
        <v>331</v>
      </c>
      <c r="D20" s="3" t="s">
        <v>54</v>
      </c>
      <c r="E20" s="8">
        <v>49190</v>
      </c>
      <c r="F20" s="3" t="s">
        <v>214</v>
      </c>
      <c r="G20" s="8" t="s">
        <v>332</v>
      </c>
      <c r="H20" s="3"/>
      <c r="I20" s="3"/>
      <c r="J20" s="3"/>
    </row>
    <row r="21" spans="1:10">
      <c r="A21" s="8">
        <v>999550183</v>
      </c>
      <c r="B21" s="3">
        <v>1</v>
      </c>
      <c r="C21" s="3" t="s">
        <v>333</v>
      </c>
      <c r="D21" s="3" t="s">
        <v>54</v>
      </c>
      <c r="E21" s="8">
        <v>49194</v>
      </c>
      <c r="F21" s="3" t="s">
        <v>214</v>
      </c>
      <c r="G21" s="8" t="s">
        <v>334</v>
      </c>
      <c r="H21" s="3"/>
      <c r="I21" s="3"/>
      <c r="J21" s="3"/>
    </row>
    <row r="22" spans="1:10">
      <c r="A22" s="8">
        <v>853720264</v>
      </c>
      <c r="B22" s="3">
        <v>1</v>
      </c>
      <c r="C22" s="3" t="s">
        <v>335</v>
      </c>
      <c r="D22" s="3" t="s">
        <v>54</v>
      </c>
      <c r="E22" s="8">
        <v>218212</v>
      </c>
      <c r="F22" s="3" t="s">
        <v>336</v>
      </c>
      <c r="G22" s="8" t="s">
        <v>337</v>
      </c>
      <c r="H22" s="3"/>
      <c r="I22" s="3"/>
      <c r="J22" s="3"/>
    </row>
    <row r="23" spans="1:10">
      <c r="A23" s="8">
        <v>966550003</v>
      </c>
      <c r="B23" s="3">
        <v>1</v>
      </c>
      <c r="C23" s="3" t="s">
        <v>338</v>
      </c>
      <c r="D23" s="3" t="s">
        <v>54</v>
      </c>
      <c r="E23" s="8">
        <v>355083</v>
      </c>
      <c r="F23" s="3" t="s">
        <v>339</v>
      </c>
      <c r="G23" s="8" t="s">
        <v>340</v>
      </c>
      <c r="H23" s="3"/>
      <c r="I23" s="3"/>
      <c r="J23" s="3"/>
    </row>
    <row r="24" spans="1:10">
      <c r="A24" s="8">
        <v>853720267</v>
      </c>
      <c r="B24" s="3">
        <v>1</v>
      </c>
      <c r="C24" s="3" t="s">
        <v>341</v>
      </c>
      <c r="D24" s="3" t="s">
        <v>54</v>
      </c>
      <c r="E24" s="8">
        <v>341897</v>
      </c>
      <c r="F24" s="3" t="s">
        <v>336</v>
      </c>
      <c r="G24" s="8" t="s">
        <v>342</v>
      </c>
      <c r="H24" s="3"/>
      <c r="I24" s="3"/>
      <c r="J24" s="3"/>
    </row>
    <row r="25" spans="1:10">
      <c r="A25" s="8">
        <v>995550002</v>
      </c>
      <c r="B25" s="3">
        <v>2</v>
      </c>
      <c r="C25" s="3" t="s">
        <v>343</v>
      </c>
      <c r="D25" s="3" t="s">
        <v>54</v>
      </c>
      <c r="E25" s="8">
        <v>443521</v>
      </c>
      <c r="F25" s="3" t="s">
        <v>344</v>
      </c>
      <c r="G25" s="8" t="s">
        <v>345</v>
      </c>
      <c r="H25" s="3"/>
      <c r="I25" s="3"/>
      <c r="J25" s="3"/>
    </row>
    <row r="26" spans="1:10">
      <c r="A26" s="8"/>
      <c r="B26" s="3">
        <v>1</v>
      </c>
      <c r="C26" s="3" t="s">
        <v>346</v>
      </c>
      <c r="D26" s="3" t="s">
        <v>54</v>
      </c>
      <c r="E26" s="8">
        <v>49672</v>
      </c>
      <c r="F26" s="3" t="s">
        <v>214</v>
      </c>
      <c r="G26" s="8" t="s">
        <v>347</v>
      </c>
      <c r="H26" s="3"/>
      <c r="I26" s="3"/>
      <c r="J26" s="3"/>
    </row>
    <row r="27" spans="1:10">
      <c r="A27" s="8"/>
      <c r="B27" s="3">
        <v>1</v>
      </c>
      <c r="C27" s="3" t="s">
        <v>348</v>
      </c>
      <c r="D27" s="3" t="s">
        <v>54</v>
      </c>
      <c r="E27" s="8">
        <v>571580</v>
      </c>
      <c r="F27" s="3" t="s">
        <v>214</v>
      </c>
      <c r="G27" s="8" t="s">
        <v>349</v>
      </c>
      <c r="H27" s="3"/>
      <c r="I27" s="3"/>
      <c r="J27" s="3"/>
    </row>
    <row r="28" spans="1:10">
      <c r="A28" s="8">
        <v>832700008</v>
      </c>
      <c r="B28" s="3">
        <v>1</v>
      </c>
      <c r="C28" s="3" t="s">
        <v>350</v>
      </c>
      <c r="D28" s="3" t="s">
        <v>54</v>
      </c>
      <c r="E28" s="8">
        <v>391127</v>
      </c>
      <c r="F28" s="3" t="s">
        <v>336</v>
      </c>
      <c r="G28" s="8" t="s">
        <v>351</v>
      </c>
      <c r="H28" s="3"/>
      <c r="I28" s="3"/>
      <c r="J28" s="3"/>
    </row>
    <row r="29" spans="1:10">
      <c r="A29" s="8"/>
      <c r="B29" s="3">
        <v>1</v>
      </c>
      <c r="C29" s="3" t="s">
        <v>352</v>
      </c>
      <c r="D29" s="3" t="s">
        <v>54</v>
      </c>
      <c r="E29" s="8">
        <v>391130</v>
      </c>
      <c r="F29" s="3" t="s">
        <v>336</v>
      </c>
      <c r="G29" s="8" t="s">
        <v>353</v>
      </c>
      <c r="H29" s="3"/>
      <c r="I29" s="3"/>
      <c r="J29" s="3"/>
    </row>
    <row r="30" spans="1:10">
      <c r="A30" s="8"/>
      <c r="B30" s="3">
        <v>2</v>
      </c>
      <c r="C30" s="3" t="s">
        <v>354</v>
      </c>
      <c r="D30" s="3" t="s">
        <v>54</v>
      </c>
      <c r="E30" s="8">
        <v>391126</v>
      </c>
      <c r="F30" s="3" t="s">
        <v>336</v>
      </c>
      <c r="G30" s="8" t="s">
        <v>355</v>
      </c>
      <c r="H30" s="3"/>
      <c r="I30" s="3"/>
      <c r="J30" s="3"/>
    </row>
    <row r="31" spans="1:10">
      <c r="A31" s="8">
        <v>906550003</v>
      </c>
      <c r="B31" s="3">
        <v>1</v>
      </c>
      <c r="C31" s="3" t="s">
        <v>338</v>
      </c>
      <c r="D31" s="3" t="s">
        <v>54</v>
      </c>
      <c r="E31" s="8">
        <v>355083</v>
      </c>
      <c r="F31" s="3" t="s">
        <v>339</v>
      </c>
      <c r="G31" s="8" t="s">
        <v>340</v>
      </c>
      <c r="H31" s="3"/>
      <c r="I31" s="3"/>
      <c r="J31" s="3"/>
    </row>
    <row r="32" spans="1:10">
      <c r="A32" s="8">
        <v>822720501</v>
      </c>
      <c r="B32" s="3">
        <v>4</v>
      </c>
      <c r="C32" s="3" t="s">
        <v>356</v>
      </c>
      <c r="D32" s="3" t="s">
        <v>54</v>
      </c>
      <c r="E32" s="8">
        <v>11298</v>
      </c>
      <c r="F32" s="3" t="s">
        <v>59</v>
      </c>
      <c r="G32" s="8" t="s">
        <v>357</v>
      </c>
      <c r="H32" s="3"/>
      <c r="I32" s="3"/>
      <c r="J32" s="3"/>
    </row>
    <row r="33" spans="1:10">
      <c r="A33" s="8">
        <v>906550273</v>
      </c>
      <c r="B33" s="3">
        <v>2</v>
      </c>
      <c r="C33" s="3" t="s">
        <v>358</v>
      </c>
      <c r="D33" s="3" t="s">
        <v>54</v>
      </c>
      <c r="E33" s="8">
        <v>68793</v>
      </c>
      <c r="F33" s="3" t="s">
        <v>359</v>
      </c>
      <c r="G33" s="8" t="s">
        <v>360</v>
      </c>
      <c r="H33" s="3"/>
      <c r="I33" s="3"/>
      <c r="J33" s="3"/>
    </row>
    <row r="34" spans="1:10">
      <c r="A34" s="8"/>
      <c r="B34" s="3">
        <v>6</v>
      </c>
      <c r="C34" s="3" t="s">
        <v>361</v>
      </c>
      <c r="D34" s="3" t="s">
        <v>54</v>
      </c>
      <c r="E34" s="8" t="s">
        <v>362</v>
      </c>
      <c r="F34" s="3" t="s">
        <v>59</v>
      </c>
      <c r="G34" s="8" t="s">
        <v>362</v>
      </c>
      <c r="H34" s="3"/>
      <c r="I34" s="3"/>
      <c r="J34" s="3"/>
    </row>
    <row r="35" spans="1:10">
      <c r="A35" s="8"/>
      <c r="B35" s="3">
        <v>4</v>
      </c>
      <c r="C35" s="3" t="s">
        <v>363</v>
      </c>
      <c r="D35" s="3" t="s">
        <v>54</v>
      </c>
      <c r="E35" s="8" t="s">
        <v>364</v>
      </c>
      <c r="F35" s="3" t="s">
        <v>59</v>
      </c>
      <c r="G35" s="8" t="s">
        <v>364</v>
      </c>
      <c r="H35" s="3"/>
      <c r="I35" s="3"/>
      <c r="J35" s="3"/>
    </row>
    <row r="36" spans="1:10">
      <c r="A36" s="8">
        <v>992700006</v>
      </c>
      <c r="B36" s="3">
        <v>12</v>
      </c>
      <c r="C36" s="3" t="s">
        <v>153</v>
      </c>
      <c r="D36" s="3" t="s">
        <v>54</v>
      </c>
      <c r="E36" s="8" t="s">
        <v>154</v>
      </c>
      <c r="F36" s="3" t="s">
        <v>59</v>
      </c>
      <c r="G36" s="8" t="s">
        <v>154</v>
      </c>
      <c r="H36" s="3"/>
      <c r="I36" s="3"/>
      <c r="J36" s="3"/>
    </row>
    <row r="37" spans="1:10">
      <c r="A37" s="8"/>
      <c r="B37" s="3">
        <v>6</v>
      </c>
      <c r="C37" s="3" t="s">
        <v>365</v>
      </c>
      <c r="D37" s="3" t="s">
        <v>54</v>
      </c>
      <c r="E37" s="8">
        <v>204587</v>
      </c>
      <c r="F37" s="3" t="s">
        <v>59</v>
      </c>
      <c r="G37" s="8" t="s">
        <v>366</v>
      </c>
      <c r="H37" s="3"/>
      <c r="I37" s="3"/>
      <c r="J37" s="3"/>
    </row>
    <row r="38" spans="1:10">
      <c r="A38" s="8">
        <v>824720421</v>
      </c>
      <c r="B38" s="3">
        <v>1</v>
      </c>
      <c r="C38" s="3" t="s">
        <v>367</v>
      </c>
      <c r="D38" s="3" t="s">
        <v>54</v>
      </c>
      <c r="E38" s="8">
        <v>369931</v>
      </c>
      <c r="F38" s="3" t="s">
        <v>59</v>
      </c>
      <c r="G38" s="8" t="s">
        <v>368</v>
      </c>
      <c r="H38" s="3"/>
      <c r="I38" s="3"/>
      <c r="J38" s="3"/>
    </row>
    <row r="39" spans="1:10">
      <c r="A39" s="8"/>
      <c r="B39" s="3">
        <v>1</v>
      </c>
      <c r="C39" s="3" t="s">
        <v>369</v>
      </c>
      <c r="D39" s="3" t="s">
        <v>54</v>
      </c>
      <c r="E39" s="8" t="s">
        <v>370</v>
      </c>
      <c r="F39" s="3" t="s">
        <v>59</v>
      </c>
      <c r="G39" s="8" t="s">
        <v>370</v>
      </c>
      <c r="H39" s="3"/>
      <c r="I39" s="3"/>
      <c r="J39" s="3"/>
    </row>
    <row r="40" spans="1:10">
      <c r="A40" s="8">
        <v>999720441</v>
      </c>
      <c r="B40" s="3">
        <v>6</v>
      </c>
      <c r="C40" s="3" t="s">
        <v>166</v>
      </c>
      <c r="D40" s="3" t="s">
        <v>54</v>
      </c>
      <c r="E40" s="8" t="s">
        <v>167</v>
      </c>
      <c r="F40" s="3" t="s">
        <v>59</v>
      </c>
      <c r="G40" s="8" t="s">
        <v>167</v>
      </c>
      <c r="H40" s="3"/>
      <c r="I40" s="3"/>
      <c r="J40" s="3"/>
    </row>
    <row r="41" spans="1:10">
      <c r="A41" s="8">
        <v>822700023</v>
      </c>
      <c r="B41" s="3">
        <v>6</v>
      </c>
      <c r="C41" s="3" t="s">
        <v>371</v>
      </c>
      <c r="D41" s="3" t="s">
        <v>54</v>
      </c>
      <c r="E41" s="8">
        <v>8110071</v>
      </c>
      <c r="F41" s="3" t="s">
        <v>359</v>
      </c>
      <c r="G41" s="8" t="s">
        <v>372</v>
      </c>
      <c r="H41" s="3"/>
      <c r="I41" s="3"/>
      <c r="J41" s="3"/>
    </row>
    <row r="42" spans="1:10">
      <c r="A42" s="8">
        <v>824550095</v>
      </c>
      <c r="B42" s="3">
        <v>1</v>
      </c>
      <c r="C42" s="3" t="s">
        <v>324</v>
      </c>
      <c r="D42" s="3" t="s">
        <v>54</v>
      </c>
      <c r="E42" s="8">
        <v>34530</v>
      </c>
      <c r="F42" s="3" t="s">
        <v>319</v>
      </c>
      <c r="G42" s="8" t="s">
        <v>325</v>
      </c>
      <c r="H42" s="3"/>
      <c r="I42" s="3"/>
      <c r="J42" s="3"/>
    </row>
    <row r="43" spans="1:10">
      <c r="A43" s="8">
        <v>824550106</v>
      </c>
      <c r="B43" s="3">
        <v>4</v>
      </c>
      <c r="C43" s="3" t="s">
        <v>373</v>
      </c>
      <c r="D43" s="3" t="s">
        <v>54</v>
      </c>
      <c r="E43" s="8">
        <v>45384</v>
      </c>
      <c r="F43" s="3" t="s">
        <v>374</v>
      </c>
      <c r="G43" s="8" t="s">
        <v>375</v>
      </c>
      <c r="H43" s="3"/>
      <c r="I43" s="3"/>
      <c r="J43" s="3"/>
    </row>
    <row r="44" spans="1:10">
      <c r="A44" s="8">
        <v>999700001</v>
      </c>
      <c r="B44" s="3">
        <v>2</v>
      </c>
      <c r="C44" s="3" t="s">
        <v>376</v>
      </c>
      <c r="D44" s="3" t="s">
        <v>54</v>
      </c>
      <c r="E44" s="8">
        <v>575053</v>
      </c>
      <c r="F44" s="3" t="s">
        <v>329</v>
      </c>
      <c r="G44" s="8" t="s">
        <v>330</v>
      </c>
      <c r="H44" s="3"/>
      <c r="I44" s="3"/>
      <c r="J44" s="3"/>
    </row>
    <row r="45" spans="1:10">
      <c r="A45" s="8">
        <v>836720010</v>
      </c>
      <c r="B45" s="3">
        <v>2</v>
      </c>
      <c r="C45" s="3" t="s">
        <v>377</v>
      </c>
      <c r="D45" s="3" t="s">
        <v>54</v>
      </c>
      <c r="E45" s="8">
        <v>92717</v>
      </c>
      <c r="F45" s="3" t="s">
        <v>322</v>
      </c>
      <c r="G45" s="8" t="s">
        <v>378</v>
      </c>
      <c r="H45" s="3"/>
      <c r="I45" s="3"/>
      <c r="J45" s="3"/>
    </row>
    <row r="46" spans="1:10">
      <c r="A46" s="8">
        <v>836700014</v>
      </c>
      <c r="B46" s="3">
        <v>2</v>
      </c>
      <c r="C46" s="3" t="s">
        <v>379</v>
      </c>
      <c r="D46" s="3" t="s">
        <v>54</v>
      </c>
      <c r="E46" s="8">
        <v>97485</v>
      </c>
      <c r="F46" s="3" t="s">
        <v>270</v>
      </c>
      <c r="G46" s="8" t="s">
        <v>380</v>
      </c>
      <c r="H46" s="3"/>
      <c r="I46" s="3"/>
      <c r="J46" s="3"/>
    </row>
    <row r="47" spans="1:10">
      <c r="A47" s="8">
        <v>824700004</v>
      </c>
      <c r="B47" s="3">
        <v>1</v>
      </c>
      <c r="C47" s="3" t="s">
        <v>381</v>
      </c>
      <c r="D47" s="3" t="s">
        <v>54</v>
      </c>
      <c r="E47" s="8">
        <v>106428</v>
      </c>
      <c r="F47" s="3" t="s">
        <v>54</v>
      </c>
      <c r="G47" s="8" t="s">
        <v>382</v>
      </c>
      <c r="H47" s="3"/>
      <c r="I47" s="3"/>
      <c r="J47" s="3"/>
    </row>
    <row r="48" spans="1:10">
      <c r="A48" s="8">
        <v>999550062</v>
      </c>
      <c r="B48" s="3">
        <v>1</v>
      </c>
      <c r="C48" s="3" t="s">
        <v>383</v>
      </c>
      <c r="D48" s="3" t="s">
        <v>54</v>
      </c>
      <c r="E48" s="8">
        <v>372389</v>
      </c>
      <c r="F48" s="3" t="s">
        <v>319</v>
      </c>
      <c r="G48" s="8" t="s">
        <v>384</v>
      </c>
      <c r="H48" s="3"/>
      <c r="I48" s="3"/>
      <c r="J48" s="3"/>
    </row>
    <row r="49" spans="1:10">
      <c r="A49" s="8">
        <v>824550090</v>
      </c>
      <c r="B49" s="3">
        <v>4</v>
      </c>
      <c r="C49" s="3" t="s">
        <v>385</v>
      </c>
      <c r="D49" s="3" t="s">
        <v>54</v>
      </c>
      <c r="E49" s="8">
        <v>13480</v>
      </c>
      <c r="F49" s="3" t="s">
        <v>54</v>
      </c>
      <c r="G49" s="8" t="s">
        <v>386</v>
      </c>
      <c r="H49" s="3"/>
      <c r="I49" s="3"/>
      <c r="J49" s="3"/>
    </row>
    <row r="50" spans="1:10">
      <c r="A50" s="8">
        <v>906700006</v>
      </c>
      <c r="B50" s="3">
        <v>3</v>
      </c>
      <c r="C50" s="3" t="s">
        <v>387</v>
      </c>
      <c r="D50" s="3" t="s">
        <v>54</v>
      </c>
      <c r="E50" s="8">
        <v>58879</v>
      </c>
      <c r="F50" s="3" t="s">
        <v>214</v>
      </c>
      <c r="G50" s="8" t="s">
        <v>388</v>
      </c>
      <c r="H50" s="3"/>
      <c r="I50" s="3"/>
      <c r="J50" s="3"/>
    </row>
    <row r="51" spans="1:10">
      <c r="A51" s="8"/>
      <c r="B51" s="3">
        <v>3</v>
      </c>
      <c r="C51" s="3" t="s">
        <v>389</v>
      </c>
      <c r="D51" s="3" t="s">
        <v>54</v>
      </c>
      <c r="E51" s="8">
        <v>67050</v>
      </c>
      <c r="F51" s="3" t="s">
        <v>214</v>
      </c>
      <c r="G51" s="8" t="s">
        <v>390</v>
      </c>
      <c r="H51" s="3"/>
      <c r="I51" s="3"/>
      <c r="J51" s="3"/>
    </row>
    <row r="52" spans="1:10">
      <c r="A52" s="8">
        <v>824550542</v>
      </c>
      <c r="B52" s="3">
        <v>1</v>
      </c>
      <c r="C52" s="3" t="s">
        <v>391</v>
      </c>
      <c r="D52" s="3" t="s">
        <v>54</v>
      </c>
      <c r="E52" s="8">
        <v>453879</v>
      </c>
      <c r="F52" s="3" t="s">
        <v>336</v>
      </c>
      <c r="G52" s="8" t="s">
        <v>392</v>
      </c>
      <c r="H52" s="3"/>
      <c r="I52" s="3"/>
      <c r="J52" s="3"/>
    </row>
    <row r="53" spans="1:10">
      <c r="A53" s="8">
        <v>824550544</v>
      </c>
      <c r="B53" s="3">
        <v>1</v>
      </c>
      <c r="C53" s="3" t="s">
        <v>393</v>
      </c>
      <c r="D53" s="3" t="s">
        <v>54</v>
      </c>
      <c r="E53" s="8">
        <v>453907</v>
      </c>
      <c r="F53" s="3" t="s">
        <v>336</v>
      </c>
      <c r="G53" s="8" t="s">
        <v>394</v>
      </c>
      <c r="H53" s="3"/>
      <c r="I53" s="3"/>
      <c r="J53" s="3"/>
    </row>
    <row r="54" spans="1:10">
      <c r="A54" s="8">
        <v>824550742</v>
      </c>
      <c r="B54" s="3">
        <v>4</v>
      </c>
      <c r="C54" s="3" t="s">
        <v>395</v>
      </c>
      <c r="D54" s="3" t="s">
        <v>54</v>
      </c>
      <c r="E54" s="8">
        <v>553153</v>
      </c>
      <c r="F54" s="3" t="s">
        <v>59</v>
      </c>
      <c r="G54" s="8" t="s">
        <v>396</v>
      </c>
      <c r="H54" s="3"/>
      <c r="I54" s="3"/>
      <c r="J54" s="3"/>
    </row>
    <row r="55" spans="1:10">
      <c r="A55" s="8">
        <v>824550722</v>
      </c>
      <c r="B55" s="3">
        <v>2</v>
      </c>
      <c r="C55" s="3" t="s">
        <v>397</v>
      </c>
      <c r="D55" s="3" t="s">
        <v>54</v>
      </c>
      <c r="E55" s="8">
        <v>553158</v>
      </c>
      <c r="F55" s="3" t="s">
        <v>59</v>
      </c>
      <c r="G55" s="8" t="s">
        <v>398</v>
      </c>
      <c r="H55" s="3"/>
      <c r="I55" s="3"/>
      <c r="J55" s="3"/>
    </row>
    <row r="56" spans="1:10">
      <c r="A56" s="8">
        <v>824700061</v>
      </c>
      <c r="B56" s="3">
        <v>2</v>
      </c>
      <c r="C56" s="3" t="s">
        <v>399</v>
      </c>
      <c r="D56" s="3" t="s">
        <v>54</v>
      </c>
      <c r="E56" s="8">
        <v>554006</v>
      </c>
      <c r="F56" s="3" t="s">
        <v>54</v>
      </c>
      <c r="G56" s="8" t="s">
        <v>400</v>
      </c>
      <c r="H56" s="3"/>
      <c r="I56" s="3"/>
      <c r="J56" s="3"/>
    </row>
    <row r="57" spans="1:10">
      <c r="A57" s="8">
        <v>824700081</v>
      </c>
      <c r="B57" s="3">
        <v>1</v>
      </c>
      <c r="C57" s="3" t="s">
        <v>401</v>
      </c>
      <c r="D57" s="3" t="s">
        <v>54</v>
      </c>
      <c r="E57" s="8">
        <v>554007</v>
      </c>
      <c r="F57" s="3" t="s">
        <v>54</v>
      </c>
      <c r="G57" s="8" t="s">
        <v>402</v>
      </c>
      <c r="H57" s="3"/>
      <c r="I57" s="3"/>
      <c r="J57" s="3"/>
    </row>
    <row r="58" spans="1:10">
      <c r="A58" s="8">
        <v>999550021</v>
      </c>
      <c r="B58" s="3">
        <v>1</v>
      </c>
      <c r="C58" s="3" t="s">
        <v>403</v>
      </c>
      <c r="D58" s="3" t="s">
        <v>54</v>
      </c>
      <c r="E58" s="8">
        <v>554008</v>
      </c>
      <c r="F58" s="3" t="s">
        <v>54</v>
      </c>
      <c r="G58" s="8" t="s">
        <v>404</v>
      </c>
      <c r="H58" s="3"/>
      <c r="I58" s="3"/>
      <c r="J58" s="3"/>
    </row>
    <row r="59" spans="1:10">
      <c r="A59" s="8"/>
      <c r="B59" s="3">
        <v>2</v>
      </c>
      <c r="C59" s="3" t="s">
        <v>405</v>
      </c>
      <c r="D59" s="3" t="s">
        <v>54</v>
      </c>
      <c r="E59" s="8">
        <v>554108</v>
      </c>
      <c r="F59" s="3" t="s">
        <v>59</v>
      </c>
      <c r="G59" s="8" t="s">
        <v>406</v>
      </c>
      <c r="H59" s="3"/>
      <c r="I59" s="3"/>
      <c r="J59" s="3"/>
    </row>
    <row r="60" spans="1:10">
      <c r="A60" s="8"/>
      <c r="B60" s="3">
        <v>4</v>
      </c>
      <c r="C60" s="3" t="s">
        <v>407</v>
      </c>
      <c r="D60" s="3" t="s">
        <v>54</v>
      </c>
      <c r="E60" s="8">
        <v>554119</v>
      </c>
      <c r="F60" s="3" t="s">
        <v>59</v>
      </c>
      <c r="G60" s="8" t="s">
        <v>408</v>
      </c>
      <c r="H60" s="3"/>
      <c r="I60" s="3"/>
      <c r="J60" s="3"/>
    </row>
    <row r="61" spans="1:10">
      <c r="A61" s="8">
        <v>824550702</v>
      </c>
      <c r="B61" s="3">
        <v>8</v>
      </c>
      <c r="C61" s="3" t="s">
        <v>409</v>
      </c>
      <c r="D61" s="3" t="s">
        <v>54</v>
      </c>
      <c r="E61" s="8">
        <v>554122</v>
      </c>
      <c r="F61" s="3" t="s">
        <v>59</v>
      </c>
      <c r="G61" s="8" t="s">
        <v>410</v>
      </c>
      <c r="H61" s="3"/>
      <c r="I61" s="3"/>
      <c r="J61" s="3"/>
    </row>
    <row r="62" spans="1:10">
      <c r="A62" s="8">
        <v>824700162</v>
      </c>
      <c r="B62" s="3">
        <v>1</v>
      </c>
      <c r="C62" s="3" t="s">
        <v>411</v>
      </c>
      <c r="D62" s="3" t="s">
        <v>54</v>
      </c>
      <c r="E62" s="8">
        <v>556269</v>
      </c>
      <c r="F62" s="3" t="s">
        <v>412</v>
      </c>
      <c r="G62" s="8" t="s">
        <v>413</v>
      </c>
      <c r="H62" s="3"/>
      <c r="I62" s="3"/>
      <c r="J62" s="3"/>
    </row>
    <row r="63" spans="1:10">
      <c r="A63" s="8">
        <v>842720025</v>
      </c>
      <c r="B63" s="3">
        <v>1</v>
      </c>
      <c r="C63" s="3" t="s">
        <v>414</v>
      </c>
      <c r="D63" s="3" t="s">
        <v>54</v>
      </c>
      <c r="E63" s="8">
        <v>5952619</v>
      </c>
      <c r="F63" s="3" t="s">
        <v>322</v>
      </c>
      <c r="G63" s="8" t="s">
        <v>323</v>
      </c>
      <c r="H63" s="3"/>
      <c r="I63" s="3"/>
      <c r="J63" s="3"/>
    </row>
    <row r="64" spans="1:10">
      <c r="A64" s="8"/>
      <c r="B64" s="3">
        <v>2</v>
      </c>
      <c r="C64" s="3" t="s">
        <v>415</v>
      </c>
      <c r="D64" s="3" t="s">
        <v>54</v>
      </c>
      <c r="E64" s="8">
        <v>577603</v>
      </c>
      <c r="F64" s="3" t="s">
        <v>322</v>
      </c>
      <c r="G64" s="8" t="s">
        <v>416</v>
      </c>
      <c r="H64" s="3"/>
      <c r="I64" s="3"/>
      <c r="J64" s="3"/>
    </row>
    <row r="65" spans="1:10">
      <c r="A65" s="8"/>
      <c r="B65" s="3">
        <v>6</v>
      </c>
      <c r="C65" s="3" t="s">
        <v>417</v>
      </c>
      <c r="D65" s="3" t="s">
        <v>54</v>
      </c>
      <c r="E65" s="8">
        <v>548567</v>
      </c>
      <c r="F65" s="3" t="s">
        <v>59</v>
      </c>
      <c r="G65" s="8" t="s">
        <v>418</v>
      </c>
      <c r="H65" s="3"/>
      <c r="I65" s="3"/>
      <c r="J65" s="3"/>
    </row>
    <row r="66" spans="1:10">
      <c r="A66" s="8">
        <v>824550722</v>
      </c>
      <c r="B66" s="3">
        <v>2</v>
      </c>
      <c r="C66" s="3" t="s">
        <v>419</v>
      </c>
      <c r="D66" s="3" t="s">
        <v>54</v>
      </c>
      <c r="E66" s="8">
        <v>553158</v>
      </c>
      <c r="F66" s="3" t="s">
        <v>59</v>
      </c>
      <c r="G66" s="8" t="s">
        <v>398</v>
      </c>
      <c r="H66" s="3"/>
      <c r="I66" s="3"/>
      <c r="J66" s="3"/>
    </row>
    <row r="67" spans="1:10">
      <c r="A67" s="8">
        <v>824700301</v>
      </c>
      <c r="B67" s="3">
        <v>1</v>
      </c>
      <c r="C67" s="3" t="s">
        <v>420</v>
      </c>
      <c r="D67" s="3" t="s">
        <v>54</v>
      </c>
      <c r="E67" s="8">
        <v>590309</v>
      </c>
      <c r="F67" s="3" t="s">
        <v>54</v>
      </c>
      <c r="G67" s="8" t="s">
        <v>421</v>
      </c>
      <c r="H67" s="3"/>
      <c r="I67" s="3"/>
      <c r="J67" s="3"/>
    </row>
    <row r="68" spans="1:10">
      <c r="A68" s="8">
        <v>986720141</v>
      </c>
      <c r="B68" s="3">
        <v>1</v>
      </c>
      <c r="C68" s="3" t="s">
        <v>213</v>
      </c>
      <c r="D68" s="3" t="s">
        <v>54</v>
      </c>
      <c r="E68" s="8">
        <v>45754</v>
      </c>
      <c r="F68" s="3" t="s">
        <v>214</v>
      </c>
      <c r="G68" s="8" t="s">
        <v>215</v>
      </c>
      <c r="H68" s="3"/>
      <c r="I68" s="3"/>
      <c r="J68" s="3"/>
    </row>
    <row r="69" spans="1:10">
      <c r="A69" s="8">
        <v>921720141</v>
      </c>
      <c r="B69" s="3">
        <v>1</v>
      </c>
      <c r="C69" s="3" t="s">
        <v>422</v>
      </c>
      <c r="D69" s="3" t="s">
        <v>54</v>
      </c>
      <c r="E69" s="8">
        <v>45755</v>
      </c>
      <c r="F69" s="3" t="s">
        <v>214</v>
      </c>
      <c r="G69" s="8" t="s">
        <v>423</v>
      </c>
      <c r="H69" s="3"/>
      <c r="I69" s="3"/>
      <c r="J69" s="3"/>
    </row>
    <row r="70" spans="1:10">
      <c r="A70" s="8"/>
      <c r="B70" s="3">
        <v>1</v>
      </c>
      <c r="C70" s="3" t="s">
        <v>424</v>
      </c>
      <c r="D70" s="3" t="s">
        <v>54</v>
      </c>
      <c r="E70" s="8">
        <v>60855</v>
      </c>
      <c r="F70" s="3" t="s">
        <v>336</v>
      </c>
      <c r="G70" s="8" t="s">
        <v>425</v>
      </c>
      <c r="H70" s="3"/>
      <c r="I70" s="3"/>
      <c r="J70" s="3"/>
    </row>
    <row r="71" spans="1:10">
      <c r="A71" s="8"/>
      <c r="B71" s="3">
        <v>1</v>
      </c>
      <c r="C71" s="3" t="s">
        <v>426</v>
      </c>
      <c r="D71" s="3" t="s">
        <v>54</v>
      </c>
      <c r="E71" s="8" t="s">
        <v>427</v>
      </c>
      <c r="F71" s="3" t="s">
        <v>59</v>
      </c>
      <c r="G71" s="8" t="s">
        <v>427</v>
      </c>
      <c r="H71" s="3"/>
      <c r="I71" s="3"/>
      <c r="J71" s="3"/>
    </row>
    <row r="72" spans="1:10">
      <c r="A72" s="8"/>
      <c r="B72" s="3">
        <v>1</v>
      </c>
      <c r="C72" s="3" t="s">
        <v>428</v>
      </c>
      <c r="D72" s="3" t="s">
        <v>54</v>
      </c>
      <c r="E72" s="8" t="s">
        <v>429</v>
      </c>
      <c r="F72" s="3" t="s">
        <v>59</v>
      </c>
      <c r="G72" s="8" t="s">
        <v>430</v>
      </c>
      <c r="H72" s="3"/>
      <c r="I72" s="3"/>
      <c r="J72" s="3"/>
    </row>
    <row r="73" spans="1:10">
      <c r="A73" s="8"/>
      <c r="B73" s="3">
        <v>1</v>
      </c>
      <c r="C73" s="3" t="s">
        <v>431</v>
      </c>
      <c r="D73" s="3" t="s">
        <v>54</v>
      </c>
      <c r="E73" s="8">
        <v>405448</v>
      </c>
      <c r="F73" s="3" t="s">
        <v>336</v>
      </c>
      <c r="G73" s="8" t="s">
        <v>432</v>
      </c>
      <c r="H73" s="3"/>
      <c r="I73" s="3"/>
      <c r="J73" s="3"/>
    </row>
    <row r="74" spans="1:10">
      <c r="A74" s="8"/>
      <c r="B74" s="3">
        <v>1</v>
      </c>
      <c r="C74" s="3" t="s">
        <v>433</v>
      </c>
      <c r="D74" s="3" t="s">
        <v>54</v>
      </c>
      <c r="E74" s="8">
        <v>406491</v>
      </c>
      <c r="F74" s="3" t="s">
        <v>267</v>
      </c>
      <c r="G74" s="8" t="s">
        <v>434</v>
      </c>
      <c r="H74" s="3"/>
      <c r="I74" s="3"/>
      <c r="J74" s="3"/>
    </row>
    <row r="75" spans="1:10">
      <c r="A75" s="8">
        <v>972551412</v>
      </c>
      <c r="B75" s="3">
        <v>1</v>
      </c>
      <c r="C75" s="3" t="s">
        <v>435</v>
      </c>
      <c r="D75" s="3" t="s">
        <v>54</v>
      </c>
      <c r="E75" s="8" t="s">
        <v>436</v>
      </c>
      <c r="F75" s="3" t="s">
        <v>59</v>
      </c>
      <c r="G75" s="8" t="s">
        <v>436</v>
      </c>
      <c r="H75" s="3"/>
      <c r="I75" s="3"/>
      <c r="J75" s="3"/>
    </row>
    <row r="76" spans="1:10">
      <c r="A76" s="8"/>
      <c r="B76" s="3">
        <v>1</v>
      </c>
      <c r="C76" s="3" t="s">
        <v>437</v>
      </c>
      <c r="D76" s="3" t="s">
        <v>54</v>
      </c>
      <c r="E76" s="8">
        <v>418223</v>
      </c>
      <c r="F76" s="3" t="s">
        <v>54</v>
      </c>
      <c r="G76" s="8" t="s">
        <v>438</v>
      </c>
      <c r="H76" s="3"/>
      <c r="I76" s="3"/>
      <c r="J76" s="3"/>
    </row>
    <row r="77" spans="1:10">
      <c r="A77" s="8"/>
      <c r="B77" s="3">
        <v>1</v>
      </c>
      <c r="C77" s="3" t="s">
        <v>439</v>
      </c>
      <c r="D77" s="3" t="s">
        <v>54</v>
      </c>
      <c r="E77" s="8">
        <v>502245</v>
      </c>
      <c r="F77" s="3" t="s">
        <v>344</v>
      </c>
      <c r="G77" s="8" t="s">
        <v>440</v>
      </c>
      <c r="H77" s="3"/>
      <c r="I77" s="3"/>
      <c r="J77" s="3"/>
    </row>
    <row r="78" spans="1:10">
      <c r="A78" s="8">
        <v>971550951</v>
      </c>
      <c r="B78" s="3">
        <v>1</v>
      </c>
      <c r="C78" s="3" t="s">
        <v>387</v>
      </c>
      <c r="D78" s="3" t="s">
        <v>54</v>
      </c>
      <c r="E78" s="8">
        <v>68497</v>
      </c>
      <c r="F78" s="3" t="s">
        <v>214</v>
      </c>
      <c r="G78" s="8" t="s">
        <v>441</v>
      </c>
      <c r="H78" s="3"/>
      <c r="I78" s="3"/>
      <c r="J78" s="3"/>
    </row>
    <row r="79" spans="1:10">
      <c r="A79" s="8"/>
      <c r="B79" s="3">
        <v>2</v>
      </c>
      <c r="C79" s="3" t="s">
        <v>442</v>
      </c>
      <c r="D79" s="3" t="s">
        <v>54</v>
      </c>
      <c r="E79" s="8">
        <v>554114</v>
      </c>
      <c r="F79" s="3" t="s">
        <v>59</v>
      </c>
      <c r="G79" s="8" t="s">
        <v>443</v>
      </c>
      <c r="H79" s="3"/>
      <c r="I79" s="3"/>
      <c r="J79" s="3"/>
    </row>
    <row r="80" spans="1:10">
      <c r="A80" s="8"/>
      <c r="B80" s="3">
        <v>1</v>
      </c>
      <c r="C80" s="3" t="s">
        <v>444</v>
      </c>
      <c r="D80" s="3" t="s">
        <v>54</v>
      </c>
      <c r="E80" s="8">
        <v>486844</v>
      </c>
      <c r="F80" s="3" t="s">
        <v>54</v>
      </c>
      <c r="G80" s="8" t="s">
        <v>445</v>
      </c>
      <c r="H80" s="3"/>
      <c r="I80" s="3"/>
      <c r="J80" s="3"/>
    </row>
    <row r="81" spans="1:10">
      <c r="A81" s="8"/>
      <c r="B81" s="3">
        <v>1</v>
      </c>
      <c r="C81" s="3" t="s">
        <v>446</v>
      </c>
      <c r="D81" s="3" t="s">
        <v>54</v>
      </c>
      <c r="E81" s="8">
        <v>49676</v>
      </c>
      <c r="F81" s="3" t="s">
        <v>447</v>
      </c>
      <c r="G81" s="8" t="s">
        <v>448</v>
      </c>
      <c r="H81" s="3"/>
      <c r="I81" s="3"/>
      <c r="J81" s="3"/>
    </row>
    <row r="82" spans="1:10">
      <c r="A82" s="8">
        <v>832280003</v>
      </c>
      <c r="B82" s="3">
        <v>1</v>
      </c>
      <c r="C82" s="3" t="s">
        <v>449</v>
      </c>
      <c r="D82" s="3" t="s">
        <v>54</v>
      </c>
      <c r="E82" s="8">
        <v>109753</v>
      </c>
      <c r="F82" s="3" t="s">
        <v>447</v>
      </c>
      <c r="G82" s="8" t="s">
        <v>450</v>
      </c>
      <c r="H82" s="3"/>
      <c r="I82" s="3"/>
      <c r="J82" s="3"/>
    </row>
    <row r="83" spans="1:10">
      <c r="A83" s="8">
        <v>881280002</v>
      </c>
      <c r="B83" s="3">
        <v>2</v>
      </c>
      <c r="C83" s="3" t="s">
        <v>451</v>
      </c>
      <c r="D83" s="3" t="s">
        <v>54</v>
      </c>
      <c r="E83" s="8">
        <v>109757</v>
      </c>
      <c r="F83" s="3" t="s">
        <v>447</v>
      </c>
      <c r="G83" s="8" t="s">
        <v>452</v>
      </c>
      <c r="H83" s="3"/>
      <c r="I83" s="3"/>
      <c r="J83" s="3"/>
    </row>
    <row r="84" spans="1:10">
      <c r="A84" s="8"/>
      <c r="B84" s="3">
        <v>1</v>
      </c>
      <c r="C84" s="3" t="s">
        <v>453</v>
      </c>
      <c r="D84" s="3" t="s">
        <v>54</v>
      </c>
      <c r="E84" s="8">
        <v>109760</v>
      </c>
      <c r="F84" s="3" t="s">
        <v>447</v>
      </c>
      <c r="G84" s="8" t="s">
        <v>454</v>
      </c>
      <c r="H84" s="3"/>
      <c r="I84" s="3"/>
      <c r="J84" s="3"/>
    </row>
    <row r="85" spans="1:10">
      <c r="A85" s="8">
        <v>835550141</v>
      </c>
      <c r="B85" s="3">
        <v>1</v>
      </c>
      <c r="C85" s="3" t="s">
        <v>455</v>
      </c>
      <c r="D85" s="3" t="s">
        <v>54</v>
      </c>
      <c r="E85" s="8">
        <v>273041</v>
      </c>
      <c r="F85" s="3" t="s">
        <v>54</v>
      </c>
      <c r="G85" s="8" t="s">
        <v>456</v>
      </c>
      <c r="H85" s="3"/>
      <c r="I85" s="3"/>
      <c r="J85" s="3"/>
    </row>
    <row r="86" spans="1:10">
      <c r="A86" s="8">
        <v>835550142</v>
      </c>
      <c r="B86" s="3">
        <v>1</v>
      </c>
      <c r="C86" s="3" t="s">
        <v>457</v>
      </c>
      <c r="D86" s="3" t="s">
        <v>54</v>
      </c>
      <c r="E86" s="8">
        <v>273040</v>
      </c>
      <c r="F86" s="3" t="s">
        <v>54</v>
      </c>
      <c r="G86" s="8" t="s">
        <v>458</v>
      </c>
      <c r="H86" s="3"/>
      <c r="I86" s="3"/>
      <c r="J86" s="3"/>
    </row>
    <row r="87" spans="1:10">
      <c r="A87" s="8">
        <v>832560001</v>
      </c>
      <c r="B87" s="3">
        <v>1</v>
      </c>
      <c r="C87" s="3" t="s">
        <v>459</v>
      </c>
      <c r="D87" s="3" t="s">
        <v>54</v>
      </c>
      <c r="E87" s="8">
        <v>384352</v>
      </c>
      <c r="F87" s="3" t="s">
        <v>54</v>
      </c>
      <c r="G87" s="8" t="s">
        <v>460</v>
      </c>
      <c r="H87" s="3"/>
      <c r="I87" s="3"/>
      <c r="J87" s="3"/>
    </row>
    <row r="88" spans="1:10">
      <c r="A88" s="8">
        <v>835700321</v>
      </c>
      <c r="B88" s="3">
        <v>1</v>
      </c>
      <c r="C88" s="3" t="s">
        <v>461</v>
      </c>
      <c r="D88" s="3" t="s">
        <v>54</v>
      </c>
      <c r="E88" s="8">
        <v>382503</v>
      </c>
      <c r="F88" s="3" t="s">
        <v>54</v>
      </c>
      <c r="G88" s="8" t="s">
        <v>462</v>
      </c>
      <c r="H88" s="3"/>
      <c r="I88" s="3"/>
      <c r="J88" s="3"/>
    </row>
    <row r="89" spans="1:10">
      <c r="A89" s="8">
        <v>832550121</v>
      </c>
      <c r="B89" s="3">
        <v>1</v>
      </c>
      <c r="C89" s="3" t="s">
        <v>463</v>
      </c>
      <c r="D89" s="3" t="s">
        <v>54</v>
      </c>
      <c r="E89" s="8">
        <v>382503</v>
      </c>
      <c r="F89" s="3" t="s">
        <v>54</v>
      </c>
      <c r="G89" s="8" t="s">
        <v>462</v>
      </c>
      <c r="H89" s="3"/>
      <c r="I89" s="3"/>
      <c r="J89" s="3"/>
    </row>
    <row r="90" spans="1:10">
      <c r="A90" s="8">
        <v>832550001</v>
      </c>
      <c r="B90" s="3">
        <v>1</v>
      </c>
      <c r="C90" s="3" t="s">
        <v>464</v>
      </c>
      <c r="D90" s="3" t="s">
        <v>54</v>
      </c>
      <c r="E90" s="8">
        <v>84687</v>
      </c>
      <c r="F90" s="3" t="s">
        <v>465</v>
      </c>
      <c r="G90" s="8" t="s">
        <v>466</v>
      </c>
      <c r="H90" s="3"/>
      <c r="I90" s="3"/>
      <c r="J90" s="3"/>
    </row>
    <row r="91" spans="1:10">
      <c r="A91" s="8">
        <v>835550027</v>
      </c>
      <c r="B91" s="3">
        <v>1</v>
      </c>
      <c r="C91" s="3" t="s">
        <v>467</v>
      </c>
      <c r="D91" s="3" t="s">
        <v>54</v>
      </c>
      <c r="E91" s="8">
        <v>84688</v>
      </c>
      <c r="F91" s="3" t="s">
        <v>465</v>
      </c>
      <c r="G91" s="8" t="s">
        <v>468</v>
      </c>
      <c r="H91" s="3"/>
      <c r="I91" s="3"/>
      <c r="J91" s="3"/>
    </row>
    <row r="92" spans="1:10">
      <c r="A92" s="8">
        <v>824550284</v>
      </c>
      <c r="B92" s="3">
        <v>7</v>
      </c>
      <c r="C92" s="3" t="s">
        <v>469</v>
      </c>
      <c r="D92" s="3" t="s">
        <v>54</v>
      </c>
      <c r="E92" s="8">
        <v>49188</v>
      </c>
      <c r="F92" s="3" t="s">
        <v>214</v>
      </c>
      <c r="G92" s="8" t="s">
        <v>470</v>
      </c>
      <c r="H92" s="3"/>
      <c r="I92" s="3"/>
      <c r="J92" s="3"/>
    </row>
    <row r="93" spans="1:10">
      <c r="A93" s="8"/>
      <c r="B93" s="3">
        <v>7</v>
      </c>
      <c r="C93" s="3" t="s">
        <v>471</v>
      </c>
      <c r="D93" s="3" t="s">
        <v>54</v>
      </c>
      <c r="E93" s="8">
        <v>49189</v>
      </c>
      <c r="F93" s="3" t="s">
        <v>214</v>
      </c>
      <c r="G93" s="8" t="s">
        <v>472</v>
      </c>
      <c r="H93" s="3"/>
      <c r="I93" s="3"/>
      <c r="J93" s="3"/>
    </row>
    <row r="94" spans="1:10">
      <c r="A94" s="8">
        <v>832280002</v>
      </c>
      <c r="B94" s="3">
        <v>1</v>
      </c>
      <c r="C94" s="3" t="s">
        <v>473</v>
      </c>
      <c r="D94" s="3" t="s">
        <v>54</v>
      </c>
      <c r="E94" s="8">
        <v>71995</v>
      </c>
      <c r="F94" s="3" t="s">
        <v>474</v>
      </c>
      <c r="G94" s="8" t="s">
        <v>475</v>
      </c>
      <c r="H94" s="3"/>
      <c r="I94" s="3"/>
      <c r="J94" s="3"/>
    </row>
    <row r="95" spans="1:10">
      <c r="A95" s="8"/>
      <c r="B95" s="3">
        <v>6</v>
      </c>
      <c r="C95" s="3" t="s">
        <v>476</v>
      </c>
      <c r="D95" s="3" t="s">
        <v>54</v>
      </c>
      <c r="E95" s="8">
        <v>87730</v>
      </c>
      <c r="F95" s="3" t="s">
        <v>54</v>
      </c>
      <c r="G95" s="8" t="s">
        <v>477</v>
      </c>
      <c r="H95" s="3"/>
      <c r="I95" s="3"/>
      <c r="J95" s="3"/>
    </row>
    <row r="96" spans="1:10">
      <c r="A96" s="8"/>
      <c r="B96" s="3">
        <v>1</v>
      </c>
      <c r="C96" s="3" t="s">
        <v>478</v>
      </c>
      <c r="D96" s="3" t="s">
        <v>54</v>
      </c>
      <c r="E96" s="8">
        <v>109761</v>
      </c>
      <c r="F96" s="3" t="s">
        <v>447</v>
      </c>
      <c r="G96" s="8" t="s">
        <v>479</v>
      </c>
      <c r="H96" s="3"/>
      <c r="I96" s="3"/>
      <c r="J96" s="3"/>
    </row>
    <row r="97" spans="1:10">
      <c r="A97" s="8"/>
      <c r="B97" s="3">
        <v>1</v>
      </c>
      <c r="C97" s="3" t="s">
        <v>480</v>
      </c>
      <c r="D97" s="3" t="s">
        <v>54</v>
      </c>
      <c r="E97" s="8">
        <v>109793</v>
      </c>
      <c r="F97" s="3" t="s">
        <v>447</v>
      </c>
      <c r="G97" s="8" t="s">
        <v>481</v>
      </c>
      <c r="H97" s="3"/>
      <c r="I97" s="3"/>
      <c r="J97" s="3"/>
    </row>
    <row r="98" spans="1:10">
      <c r="A98" s="8"/>
      <c r="B98" s="3">
        <v>1</v>
      </c>
      <c r="C98" s="3" t="s">
        <v>482</v>
      </c>
      <c r="D98" s="3" t="s">
        <v>54</v>
      </c>
      <c r="E98" s="8">
        <v>115368</v>
      </c>
      <c r="F98" s="3" t="s">
        <v>447</v>
      </c>
      <c r="G98" s="8" t="s">
        <v>483</v>
      </c>
      <c r="H98" s="3"/>
      <c r="I98" s="3"/>
      <c r="J98" s="3"/>
    </row>
    <row r="99" spans="1:10">
      <c r="A99" s="8"/>
      <c r="B99" s="3">
        <v>1</v>
      </c>
      <c r="C99" s="3" t="s">
        <v>484</v>
      </c>
      <c r="D99" s="3" t="s">
        <v>54</v>
      </c>
      <c r="E99" s="8">
        <v>576965</v>
      </c>
      <c r="F99" s="3" t="s">
        <v>54</v>
      </c>
      <c r="G99" s="8" t="s">
        <v>485</v>
      </c>
      <c r="H99" s="3"/>
      <c r="I99" s="3"/>
      <c r="J99" s="3"/>
    </row>
    <row r="100" spans="1:10">
      <c r="A100" s="8"/>
      <c r="B100" s="3">
        <v>1</v>
      </c>
      <c r="C100" s="3" t="s">
        <v>484</v>
      </c>
      <c r="D100" s="3" t="s">
        <v>54</v>
      </c>
      <c r="E100" s="8">
        <v>546225</v>
      </c>
      <c r="F100" s="3" t="s">
        <v>54</v>
      </c>
      <c r="G100" s="8" t="s">
        <v>486</v>
      </c>
      <c r="H100" s="3"/>
      <c r="I100" s="3"/>
      <c r="J100" s="3"/>
    </row>
    <row r="101" spans="1:10">
      <c r="A101" s="8"/>
      <c r="B101" s="3">
        <v>1</v>
      </c>
      <c r="C101" s="3" t="s">
        <v>484</v>
      </c>
      <c r="D101" s="3" t="s">
        <v>54</v>
      </c>
      <c r="E101" s="8">
        <v>546226</v>
      </c>
      <c r="F101" s="3" t="s">
        <v>54</v>
      </c>
      <c r="G101" s="8" t="s">
        <v>487</v>
      </c>
      <c r="H101" s="3"/>
      <c r="I101" s="3"/>
      <c r="J101" s="3"/>
    </row>
    <row r="102" spans="1:10">
      <c r="A102" s="8"/>
      <c r="B102" s="3">
        <v>6</v>
      </c>
      <c r="C102" s="3" t="s">
        <v>488</v>
      </c>
      <c r="D102" s="3" t="s">
        <v>54</v>
      </c>
      <c r="E102" s="8">
        <v>548567</v>
      </c>
      <c r="F102" s="3" t="s">
        <v>59</v>
      </c>
      <c r="G102" s="8" t="s">
        <v>418</v>
      </c>
      <c r="H102" s="3"/>
      <c r="I102" s="3"/>
      <c r="J102" s="3"/>
    </row>
    <row r="103" spans="1:10">
      <c r="A103" s="8"/>
      <c r="B103" s="3">
        <v>1</v>
      </c>
      <c r="C103" s="3" t="s">
        <v>489</v>
      </c>
      <c r="D103" s="3" t="s">
        <v>54</v>
      </c>
      <c r="E103" s="8">
        <v>274995</v>
      </c>
      <c r="F103" s="3" t="s">
        <v>59</v>
      </c>
      <c r="G103" s="8" t="s">
        <v>490</v>
      </c>
      <c r="H103" s="3"/>
      <c r="I103" s="3"/>
      <c r="J103" s="3"/>
    </row>
    <row r="104" spans="1:10">
      <c r="A104" s="8">
        <v>906700006</v>
      </c>
      <c r="B104" s="3">
        <v>2</v>
      </c>
      <c r="C104" s="3" t="s">
        <v>387</v>
      </c>
      <c r="D104" s="3" t="s">
        <v>54</v>
      </c>
      <c r="E104" s="8">
        <v>58879</v>
      </c>
      <c r="F104" s="3" t="s">
        <v>214</v>
      </c>
      <c r="G104" s="8" t="s">
        <v>388</v>
      </c>
      <c r="H104" s="3"/>
      <c r="I104" s="3"/>
      <c r="J104" s="3"/>
    </row>
    <row r="105" spans="1:10">
      <c r="A105" s="8"/>
      <c r="B105" s="3">
        <v>2</v>
      </c>
      <c r="C105" s="3" t="s">
        <v>491</v>
      </c>
      <c r="D105" s="3" t="s">
        <v>54</v>
      </c>
      <c r="E105" s="8">
        <v>67050</v>
      </c>
      <c r="F105" s="3" t="s">
        <v>214</v>
      </c>
      <c r="G105" s="8" t="s">
        <v>390</v>
      </c>
      <c r="H105" s="3"/>
      <c r="I105" s="3"/>
      <c r="J105" s="3"/>
    </row>
    <row r="106" spans="1:10">
      <c r="A106" s="8">
        <v>971550951</v>
      </c>
      <c r="B106" s="3">
        <v>6</v>
      </c>
      <c r="C106" s="3" t="s">
        <v>387</v>
      </c>
      <c r="D106" s="3" t="s">
        <v>54</v>
      </c>
      <c r="E106" s="8">
        <v>68497</v>
      </c>
      <c r="F106" s="3" t="s">
        <v>214</v>
      </c>
      <c r="G106" s="8" t="s">
        <v>441</v>
      </c>
      <c r="H106" s="3"/>
      <c r="I106" s="3"/>
      <c r="J106" s="3"/>
    </row>
    <row r="107" spans="1:10">
      <c r="A107" s="8">
        <v>841720007</v>
      </c>
      <c r="B107" s="3">
        <v>5</v>
      </c>
      <c r="C107" s="3" t="s">
        <v>492</v>
      </c>
      <c r="D107" s="3" t="s">
        <v>54</v>
      </c>
      <c r="E107" s="8">
        <v>165544</v>
      </c>
      <c r="F107" s="3" t="s">
        <v>54</v>
      </c>
      <c r="G107" s="8" t="s">
        <v>493</v>
      </c>
      <c r="H107" s="3"/>
      <c r="I107" s="3"/>
      <c r="J107" s="3"/>
    </row>
    <row r="108" spans="1:10">
      <c r="A108" s="8">
        <v>881550613</v>
      </c>
      <c r="B108" s="3">
        <v>1</v>
      </c>
      <c r="C108" s="3" t="s">
        <v>387</v>
      </c>
      <c r="D108" s="3" t="s">
        <v>54</v>
      </c>
      <c r="E108" s="8">
        <v>201736</v>
      </c>
      <c r="F108" s="3" t="s">
        <v>344</v>
      </c>
      <c r="G108" s="8" t="s">
        <v>494</v>
      </c>
      <c r="H108" s="3"/>
      <c r="I108" s="3"/>
      <c r="J108" s="3"/>
    </row>
    <row r="109" spans="1:10">
      <c r="A109" s="8">
        <v>999550182</v>
      </c>
      <c r="B109" s="3">
        <v>1</v>
      </c>
      <c r="C109" s="3" t="s">
        <v>495</v>
      </c>
      <c r="D109" s="3" t="s">
        <v>54</v>
      </c>
      <c r="E109" s="8">
        <v>201735</v>
      </c>
      <c r="F109" s="3" t="s">
        <v>214</v>
      </c>
      <c r="G109" s="8" t="s">
        <v>496</v>
      </c>
      <c r="H109" s="3"/>
      <c r="I109" s="3"/>
      <c r="J109" s="3"/>
    </row>
    <row r="110" spans="1:10">
      <c r="A110" s="8"/>
      <c r="B110" s="3">
        <v>6</v>
      </c>
      <c r="C110" s="3" t="s">
        <v>439</v>
      </c>
      <c r="D110" s="3" t="s">
        <v>54</v>
      </c>
      <c r="E110" s="8">
        <v>502245</v>
      </c>
      <c r="F110" s="3" t="s">
        <v>344</v>
      </c>
      <c r="G110" s="8" t="s">
        <v>440</v>
      </c>
      <c r="H110" s="3"/>
      <c r="I110" s="3"/>
      <c r="J110" s="3"/>
    </row>
    <row r="111" spans="1:10">
      <c r="A111" s="8"/>
      <c r="B111" s="3">
        <v>8</v>
      </c>
      <c r="C111" s="3" t="s">
        <v>497</v>
      </c>
      <c r="D111" s="3" t="s">
        <v>54</v>
      </c>
      <c r="E111" s="8">
        <v>553150</v>
      </c>
      <c r="F111" s="3" t="s">
        <v>59</v>
      </c>
      <c r="G111" s="8" t="s">
        <v>498</v>
      </c>
      <c r="H111" s="3"/>
      <c r="I111" s="3"/>
      <c r="J111" s="3"/>
    </row>
    <row r="112" spans="1:10">
      <c r="A112" s="8">
        <v>824550742</v>
      </c>
      <c r="B112" s="3">
        <v>10</v>
      </c>
      <c r="C112" s="3" t="s">
        <v>395</v>
      </c>
      <c r="D112" s="3" t="s">
        <v>54</v>
      </c>
      <c r="E112" s="8">
        <v>553153</v>
      </c>
      <c r="F112" s="3" t="s">
        <v>59</v>
      </c>
      <c r="G112" s="8" t="s">
        <v>396</v>
      </c>
      <c r="H112" s="3"/>
      <c r="I112" s="3"/>
      <c r="J112" s="3"/>
    </row>
    <row r="113" spans="1:10">
      <c r="A113" s="8">
        <v>824550722</v>
      </c>
      <c r="B113" s="3">
        <v>6</v>
      </c>
      <c r="C113" s="3" t="s">
        <v>499</v>
      </c>
      <c r="D113" s="3" t="s">
        <v>54</v>
      </c>
      <c r="E113" s="8">
        <v>553158</v>
      </c>
      <c r="F113" s="3" t="s">
        <v>59</v>
      </c>
      <c r="G113" s="8" t="s">
        <v>398</v>
      </c>
      <c r="H113" s="3"/>
      <c r="I113" s="3"/>
      <c r="J113" s="3"/>
    </row>
    <row r="114" spans="1:10">
      <c r="A114" s="8">
        <v>971550829</v>
      </c>
      <c r="B114" s="3">
        <v>1</v>
      </c>
      <c r="C114" s="3" t="s">
        <v>500</v>
      </c>
      <c r="D114" s="3" t="s">
        <v>54</v>
      </c>
      <c r="E114" s="8">
        <v>555454</v>
      </c>
      <c r="F114" s="3" t="s">
        <v>54</v>
      </c>
      <c r="G114" s="8" t="s">
        <v>501</v>
      </c>
      <c r="H114" s="3"/>
      <c r="I114" s="3"/>
      <c r="J114" s="3"/>
    </row>
    <row r="115" spans="1:10">
      <c r="A115" s="8">
        <v>971700222</v>
      </c>
      <c r="B115" s="3">
        <v>4</v>
      </c>
      <c r="C115" s="3" t="s">
        <v>502</v>
      </c>
      <c r="D115" s="3" t="s">
        <v>54</v>
      </c>
      <c r="E115" s="8">
        <v>571540</v>
      </c>
      <c r="F115" s="3" t="s">
        <v>54</v>
      </c>
      <c r="G115" s="8" t="s">
        <v>503</v>
      </c>
      <c r="H115" s="3"/>
      <c r="I115" s="3"/>
      <c r="J115" s="3"/>
    </row>
    <row r="116" spans="1:10">
      <c r="A116" s="8"/>
      <c r="B116" s="3">
        <v>1</v>
      </c>
      <c r="C116" s="3" t="s">
        <v>213</v>
      </c>
      <c r="D116" s="3" t="s">
        <v>54</v>
      </c>
      <c r="E116" s="8">
        <v>584690</v>
      </c>
      <c r="F116" s="3" t="s">
        <v>54</v>
      </c>
      <c r="G116" s="8" t="s">
        <v>504</v>
      </c>
      <c r="H116" s="3"/>
      <c r="I116" s="3"/>
      <c r="J116" s="3"/>
    </row>
    <row r="117" spans="1:10">
      <c r="A117" s="8"/>
      <c r="B117" s="3">
        <v>8</v>
      </c>
      <c r="C117" s="3" t="s">
        <v>505</v>
      </c>
      <c r="D117" s="3" t="s">
        <v>54</v>
      </c>
      <c r="E117" s="8">
        <v>574523</v>
      </c>
      <c r="F117" s="3" t="s">
        <v>59</v>
      </c>
      <c r="G117" s="8" t="s">
        <v>506</v>
      </c>
      <c r="H117" s="3"/>
      <c r="I117" s="3"/>
      <c r="J117" s="3"/>
    </row>
    <row r="118" spans="1:10">
      <c r="A118" s="8">
        <v>971721145</v>
      </c>
      <c r="B118" s="3">
        <v>1</v>
      </c>
      <c r="C118" s="3" t="s">
        <v>507</v>
      </c>
      <c r="D118" s="3" t="s">
        <v>54</v>
      </c>
      <c r="E118" s="8">
        <v>555458</v>
      </c>
      <c r="F118" s="3" t="s">
        <v>412</v>
      </c>
      <c r="G118" s="8" t="s">
        <v>508</v>
      </c>
      <c r="H118" s="3"/>
      <c r="I118" s="3"/>
      <c r="J118" s="3"/>
    </row>
    <row r="119" spans="1:10">
      <c r="A119" s="8">
        <v>921720141</v>
      </c>
      <c r="B119" s="3">
        <v>2</v>
      </c>
      <c r="C119" s="3" t="s">
        <v>509</v>
      </c>
      <c r="D119" s="3" t="s">
        <v>54</v>
      </c>
      <c r="E119" s="8">
        <v>49107</v>
      </c>
      <c r="F119" s="3" t="s">
        <v>214</v>
      </c>
      <c r="G119" s="8" t="s">
        <v>217</v>
      </c>
      <c r="H119" s="3"/>
      <c r="I119" s="3"/>
      <c r="J119" s="3"/>
    </row>
    <row r="120" spans="1:10">
      <c r="A120" s="8">
        <v>881550567</v>
      </c>
      <c r="B120" s="3">
        <v>2</v>
      </c>
      <c r="C120" s="3" t="s">
        <v>387</v>
      </c>
      <c r="D120" s="3" t="s">
        <v>54</v>
      </c>
      <c r="E120" s="8">
        <v>201942</v>
      </c>
      <c r="F120" s="3" t="s">
        <v>344</v>
      </c>
      <c r="G120" s="8" t="s">
        <v>510</v>
      </c>
      <c r="H120" s="3"/>
      <c r="I120" s="3"/>
      <c r="J120" s="3"/>
    </row>
    <row r="121" spans="1:10">
      <c r="A121" s="8">
        <v>972721489</v>
      </c>
      <c r="B121" s="3">
        <v>4</v>
      </c>
      <c r="C121" s="3" t="s">
        <v>511</v>
      </c>
      <c r="D121" s="3" t="s">
        <v>54</v>
      </c>
      <c r="E121" s="8">
        <v>359168</v>
      </c>
      <c r="F121" s="3" t="s">
        <v>54</v>
      </c>
      <c r="G121" s="8" t="s">
        <v>512</v>
      </c>
      <c r="H121" s="3"/>
      <c r="I121" s="3"/>
      <c r="J121" s="3"/>
    </row>
    <row r="122" spans="1:10">
      <c r="A122" s="8">
        <v>972721487</v>
      </c>
      <c r="B122" s="3">
        <v>6</v>
      </c>
      <c r="C122" s="3" t="s">
        <v>513</v>
      </c>
      <c r="D122" s="3" t="s">
        <v>54</v>
      </c>
      <c r="E122" s="8">
        <v>431807</v>
      </c>
      <c r="F122" s="3" t="s">
        <v>54</v>
      </c>
      <c r="G122" s="8" t="s">
        <v>514</v>
      </c>
      <c r="H122" s="3"/>
      <c r="I122" s="3"/>
      <c r="J122" s="3"/>
    </row>
    <row r="123" spans="1:10">
      <c r="A123" s="8">
        <v>972721490</v>
      </c>
      <c r="B123" s="3">
        <v>2</v>
      </c>
      <c r="C123" s="3" t="s">
        <v>515</v>
      </c>
      <c r="D123" s="3" t="s">
        <v>54</v>
      </c>
      <c r="E123" s="3">
        <v>401409</v>
      </c>
      <c r="F123" s="3" t="s">
        <v>54</v>
      </c>
      <c r="G123" s="8" t="s">
        <v>516</v>
      </c>
      <c r="H123" s="3"/>
      <c r="I123" s="3"/>
      <c r="J123" s="3"/>
    </row>
    <row r="124" spans="1:10" ht="33" customHeight="1">
      <c r="A124" s="83" t="s">
        <v>96</v>
      </c>
      <c r="B124" s="83"/>
      <c r="C124" s="83"/>
      <c r="D124" s="83"/>
      <c r="E124" s="83"/>
      <c r="F124" s="83"/>
      <c r="G124" s="83"/>
      <c r="H124" s="83"/>
      <c r="I124" s="83"/>
      <c r="J124" s="83"/>
    </row>
  </sheetData>
  <mergeCells count="10">
    <mergeCell ref="A124:J124"/>
    <mergeCell ref="A1:G1"/>
    <mergeCell ref="H1:J1"/>
    <mergeCell ref="A2:A3"/>
    <mergeCell ref="B2:B3"/>
    <mergeCell ref="C2:C3"/>
    <mergeCell ref="D2:E2"/>
    <mergeCell ref="F2:G2"/>
    <mergeCell ref="H2:H3"/>
    <mergeCell ref="I2:J2"/>
  </mergeCells>
  <pageMargins left="0.7" right="0.7" top="0.59375" bottom="0.75" header="0.3" footer="0.3"/>
  <pageSetup scale="64" fitToHeight="0" orientation="landscape" r:id="rId1"/>
  <headerFooter>
    <oddHeader>&amp;C&amp;"-,Bold"MIDLIFE OVERHAUL 2015-16 NEW FLYER XN40 (SR1947: 2830-2993)</oddHeader>
    <oddFooter>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38320-9F5E-44BB-8668-E48EDCA6C102}">
  <sheetPr>
    <pageSetUpPr fitToPage="1"/>
  </sheetPr>
  <dimension ref="A1:J43"/>
  <sheetViews>
    <sheetView view="pageLayout" zoomScaleNormal="100" workbookViewId="0">
      <selection activeCell="C16" sqref="C16"/>
    </sheetView>
  </sheetViews>
  <sheetFormatPr defaultRowHeight="14.45"/>
  <cols>
    <col min="1" max="1" width="12.140625" customWidth="1"/>
    <col min="2" max="2" width="4.28515625" bestFit="1" customWidth="1"/>
    <col min="3" max="3" width="45.140625" bestFit="1" customWidth="1"/>
    <col min="4" max="4" width="23.140625" customWidth="1"/>
    <col min="5" max="5" width="13.28515625" customWidth="1"/>
    <col min="6" max="6" width="27.42578125" customWidth="1"/>
    <col min="7" max="7" width="21" bestFit="1" customWidth="1"/>
    <col min="8" max="8" width="12.28515625" customWidth="1"/>
    <col min="9" max="9" width="13.85546875" customWidth="1"/>
    <col min="10" max="10" width="14.5703125" customWidth="1"/>
  </cols>
  <sheetData>
    <row r="1" spans="1:10" ht="15" customHeight="1">
      <c r="A1" s="84" t="s">
        <v>517</v>
      </c>
      <c r="B1" s="85"/>
      <c r="C1" s="85"/>
      <c r="D1" s="85"/>
      <c r="E1" s="85"/>
      <c r="F1" s="85"/>
      <c r="G1" s="85"/>
      <c r="H1" s="86" t="s">
        <v>518</v>
      </c>
      <c r="I1" s="87"/>
      <c r="J1" s="88"/>
    </row>
    <row r="2" spans="1:10">
      <c r="A2" s="89" t="s">
        <v>98</v>
      </c>
      <c r="B2" s="89" t="s">
        <v>43</v>
      </c>
      <c r="C2" s="89" t="s">
        <v>44</v>
      </c>
      <c r="D2" s="72" t="s">
        <v>45</v>
      </c>
      <c r="E2" s="72"/>
      <c r="F2" s="73" t="s">
        <v>46</v>
      </c>
      <c r="G2" s="74"/>
      <c r="H2" s="72" t="s">
        <v>47</v>
      </c>
      <c r="I2" s="75" t="s">
        <v>48</v>
      </c>
      <c r="J2" s="75"/>
    </row>
    <row r="3" spans="1:10">
      <c r="A3" s="90"/>
      <c r="B3" s="90"/>
      <c r="C3" s="90"/>
      <c r="D3" s="1" t="s">
        <v>49</v>
      </c>
      <c r="E3" s="1" t="s">
        <v>50</v>
      </c>
      <c r="F3" s="1" t="s">
        <v>49</v>
      </c>
      <c r="G3" s="1" t="s">
        <v>50</v>
      </c>
      <c r="H3" s="72"/>
      <c r="I3" s="2" t="s">
        <v>51</v>
      </c>
      <c r="J3" s="2" t="s">
        <v>52</v>
      </c>
    </row>
    <row r="4" spans="1:10">
      <c r="A4" s="8">
        <v>841700004</v>
      </c>
      <c r="B4" s="3">
        <v>3</v>
      </c>
      <c r="C4" s="3" t="s">
        <v>519</v>
      </c>
      <c r="D4" s="3" t="s">
        <v>520</v>
      </c>
      <c r="E4" s="3">
        <v>369382</v>
      </c>
      <c r="F4" s="3" t="s">
        <v>474</v>
      </c>
      <c r="G4" s="8" t="s">
        <v>521</v>
      </c>
      <c r="H4" s="3"/>
      <c r="I4" s="3"/>
      <c r="J4" s="3"/>
    </row>
    <row r="5" spans="1:10">
      <c r="A5" s="8">
        <v>842700141</v>
      </c>
      <c r="B5" s="3">
        <v>1</v>
      </c>
      <c r="C5" s="3" t="s">
        <v>522</v>
      </c>
      <c r="D5" s="3" t="s">
        <v>520</v>
      </c>
      <c r="E5" s="3">
        <v>6359404</v>
      </c>
      <c r="F5" s="3" t="s">
        <v>474</v>
      </c>
      <c r="G5" s="8" t="s">
        <v>523</v>
      </c>
      <c r="H5" s="3"/>
      <c r="I5" s="3"/>
      <c r="J5" s="3"/>
    </row>
    <row r="6" spans="1:10">
      <c r="A6" s="8">
        <v>842700142</v>
      </c>
      <c r="B6" s="3">
        <v>2</v>
      </c>
      <c r="C6" s="3" t="s">
        <v>524</v>
      </c>
      <c r="D6" s="3" t="s">
        <v>520</v>
      </c>
      <c r="E6" s="3">
        <v>6359405</v>
      </c>
      <c r="F6" s="3" t="s">
        <v>474</v>
      </c>
      <c r="G6" s="8" t="s">
        <v>525</v>
      </c>
      <c r="H6" s="3"/>
      <c r="I6" s="3"/>
      <c r="J6" s="3"/>
    </row>
    <row r="7" spans="1:10">
      <c r="A7" s="8">
        <v>842700143</v>
      </c>
      <c r="B7" s="3">
        <v>1</v>
      </c>
      <c r="C7" s="3" t="s">
        <v>526</v>
      </c>
      <c r="D7" s="3" t="s">
        <v>520</v>
      </c>
      <c r="E7" s="3">
        <v>6359406</v>
      </c>
      <c r="F7" s="3" t="s">
        <v>474</v>
      </c>
      <c r="G7" s="8" t="s">
        <v>527</v>
      </c>
      <c r="H7" s="3"/>
      <c r="I7" s="3"/>
      <c r="J7" s="3"/>
    </row>
    <row r="8" spans="1:10">
      <c r="A8" s="8">
        <v>842720036</v>
      </c>
      <c r="B8" s="3">
        <v>3</v>
      </c>
      <c r="C8" s="3" t="s">
        <v>528</v>
      </c>
      <c r="D8" s="3" t="s">
        <v>520</v>
      </c>
      <c r="E8" s="3">
        <v>6392138</v>
      </c>
      <c r="F8" s="3" t="s">
        <v>474</v>
      </c>
      <c r="G8" s="8">
        <v>2871862</v>
      </c>
      <c r="H8" s="3"/>
      <c r="I8" s="3"/>
      <c r="J8" s="3"/>
    </row>
    <row r="9" spans="1:10">
      <c r="A9" s="8">
        <v>842720035</v>
      </c>
      <c r="B9" s="3">
        <v>3</v>
      </c>
      <c r="C9" s="3" t="s">
        <v>529</v>
      </c>
      <c r="D9" s="3" t="s">
        <v>520</v>
      </c>
      <c r="E9" s="3">
        <v>6343881</v>
      </c>
      <c r="F9" s="3" t="s">
        <v>474</v>
      </c>
      <c r="G9" s="8">
        <v>2871452</v>
      </c>
      <c r="H9" s="3"/>
      <c r="I9" s="3"/>
      <c r="J9" s="3"/>
    </row>
    <row r="10" spans="1:10">
      <c r="A10" s="8">
        <v>842550025</v>
      </c>
      <c r="B10" s="3">
        <v>1</v>
      </c>
      <c r="C10" s="3" t="s">
        <v>530</v>
      </c>
      <c r="D10" s="3" t="s">
        <v>520</v>
      </c>
      <c r="E10" s="3">
        <v>63556956</v>
      </c>
      <c r="F10" s="3" t="s">
        <v>474</v>
      </c>
      <c r="G10" s="8">
        <v>4965093</v>
      </c>
      <c r="H10" s="3"/>
      <c r="I10" s="3"/>
      <c r="J10" s="3"/>
    </row>
    <row r="11" spans="1:10">
      <c r="A11" s="8">
        <v>842720028</v>
      </c>
      <c r="B11" s="3">
        <v>1</v>
      </c>
      <c r="C11" s="3" t="s">
        <v>531</v>
      </c>
      <c r="D11" s="3" t="s">
        <v>520</v>
      </c>
      <c r="E11" s="3">
        <v>236106</v>
      </c>
      <c r="F11" s="3" t="s">
        <v>474</v>
      </c>
      <c r="G11" s="8" t="s">
        <v>532</v>
      </c>
      <c r="H11" s="3"/>
      <c r="I11" s="3"/>
      <c r="J11" s="3"/>
    </row>
    <row r="12" spans="1:10">
      <c r="A12" s="8"/>
      <c r="B12" s="3">
        <v>2</v>
      </c>
      <c r="C12" s="3" t="s">
        <v>533</v>
      </c>
      <c r="D12" s="3" t="s">
        <v>520</v>
      </c>
      <c r="E12" s="3">
        <v>6437381</v>
      </c>
      <c r="F12" s="3" t="s">
        <v>474</v>
      </c>
      <c r="G12" s="8">
        <v>2871507</v>
      </c>
      <c r="H12" s="3"/>
      <c r="I12" s="3"/>
      <c r="J12" s="3"/>
    </row>
    <row r="13" spans="1:10">
      <c r="A13" s="8">
        <v>836700014</v>
      </c>
      <c r="B13" s="3">
        <v>4</v>
      </c>
      <c r="C13" s="3" t="s">
        <v>534</v>
      </c>
      <c r="D13" s="3" t="s">
        <v>520</v>
      </c>
      <c r="E13" s="3">
        <v>97485</v>
      </c>
      <c r="F13" s="3" t="s">
        <v>270</v>
      </c>
      <c r="G13" s="8" t="s">
        <v>380</v>
      </c>
      <c r="H13" s="3"/>
      <c r="I13" s="3"/>
      <c r="J13" s="3"/>
    </row>
    <row r="14" spans="1:10">
      <c r="A14" s="8">
        <v>833720008</v>
      </c>
      <c r="B14" s="3">
        <v>1</v>
      </c>
      <c r="C14" s="3" t="s">
        <v>535</v>
      </c>
      <c r="D14" s="3" t="s">
        <v>520</v>
      </c>
      <c r="E14" s="3">
        <v>237729</v>
      </c>
      <c r="F14" s="3" t="s">
        <v>536</v>
      </c>
      <c r="G14" s="8" t="s">
        <v>537</v>
      </c>
      <c r="H14" s="3"/>
      <c r="I14" s="3"/>
      <c r="J14" s="3"/>
    </row>
    <row r="15" spans="1:10">
      <c r="A15" s="8">
        <v>836700014</v>
      </c>
      <c r="B15" s="3">
        <v>3</v>
      </c>
      <c r="C15" s="3" t="s">
        <v>534</v>
      </c>
      <c r="D15" s="3" t="s">
        <v>520</v>
      </c>
      <c r="E15" s="3">
        <v>97485</v>
      </c>
      <c r="F15" s="3" t="s">
        <v>270</v>
      </c>
      <c r="G15" s="8" t="s">
        <v>380</v>
      </c>
      <c r="H15" s="3"/>
      <c r="I15" s="3"/>
      <c r="J15" s="3"/>
    </row>
    <row r="16" spans="1:10">
      <c r="A16" s="8">
        <v>825550004</v>
      </c>
      <c r="B16" s="3">
        <v>1</v>
      </c>
      <c r="C16" s="3" t="s">
        <v>538</v>
      </c>
      <c r="D16" s="3" t="s">
        <v>520</v>
      </c>
      <c r="E16" s="3">
        <v>97626</v>
      </c>
      <c r="F16" s="3" t="s">
        <v>536</v>
      </c>
      <c r="G16" s="8" t="s">
        <v>539</v>
      </c>
      <c r="H16" s="3"/>
      <c r="I16" s="3"/>
      <c r="J16" s="3"/>
    </row>
    <row r="17" spans="1:10">
      <c r="A17" s="8">
        <v>833720008</v>
      </c>
      <c r="B17" s="3">
        <v>1</v>
      </c>
      <c r="C17" s="3" t="s">
        <v>535</v>
      </c>
      <c r="D17" s="3" t="s">
        <v>520</v>
      </c>
      <c r="E17" s="3">
        <v>237729</v>
      </c>
      <c r="F17" s="3" t="s">
        <v>536</v>
      </c>
      <c r="G17" s="8" t="s">
        <v>537</v>
      </c>
      <c r="H17" s="3"/>
      <c r="I17" s="3"/>
      <c r="J17" s="3"/>
    </row>
    <row r="18" spans="1:10">
      <c r="A18" s="8">
        <v>833700008</v>
      </c>
      <c r="B18" s="3">
        <v>2</v>
      </c>
      <c r="C18" s="3" t="s">
        <v>540</v>
      </c>
      <c r="D18" s="3" t="s">
        <v>520</v>
      </c>
      <c r="E18" s="3">
        <v>280112</v>
      </c>
      <c r="F18" s="3" t="s">
        <v>270</v>
      </c>
      <c r="G18" s="8" t="s">
        <v>541</v>
      </c>
      <c r="H18" s="3"/>
      <c r="I18" s="3"/>
      <c r="J18" s="3"/>
    </row>
    <row r="19" spans="1:10">
      <c r="A19" s="8"/>
      <c r="B19" s="3">
        <v>1</v>
      </c>
      <c r="C19" s="3" t="s">
        <v>542</v>
      </c>
      <c r="D19" s="3" t="s">
        <v>520</v>
      </c>
      <c r="E19" s="3">
        <v>5955061</v>
      </c>
      <c r="F19" s="3" t="s">
        <v>267</v>
      </c>
      <c r="G19" s="8" t="s">
        <v>543</v>
      </c>
      <c r="H19" s="3"/>
      <c r="I19" s="3"/>
      <c r="J19" s="3"/>
    </row>
    <row r="20" spans="1:10">
      <c r="A20" s="8">
        <v>833700004</v>
      </c>
      <c r="B20" s="3">
        <v>1</v>
      </c>
      <c r="C20" s="3" t="s">
        <v>544</v>
      </c>
      <c r="D20" s="3" t="s">
        <v>520</v>
      </c>
      <c r="E20" s="3">
        <v>8111553</v>
      </c>
      <c r="F20" s="3" t="s">
        <v>374</v>
      </c>
      <c r="G20" s="8" t="s">
        <v>545</v>
      </c>
      <c r="H20" s="3"/>
      <c r="I20" s="3"/>
      <c r="J20" s="3"/>
    </row>
    <row r="21" spans="1:10">
      <c r="A21" s="8">
        <v>833720003</v>
      </c>
      <c r="B21" s="3">
        <v>1</v>
      </c>
      <c r="C21" s="3" t="s">
        <v>546</v>
      </c>
      <c r="D21" s="3" t="s">
        <v>520</v>
      </c>
      <c r="E21" s="3">
        <v>6389969</v>
      </c>
      <c r="F21" s="3" t="s">
        <v>536</v>
      </c>
      <c r="G21" s="8" t="s">
        <v>547</v>
      </c>
      <c r="H21" s="3"/>
      <c r="I21" s="3"/>
      <c r="J21" s="3"/>
    </row>
    <row r="22" spans="1:10">
      <c r="A22" s="8">
        <v>833720006</v>
      </c>
      <c r="B22" s="3">
        <v>1</v>
      </c>
      <c r="C22" s="3" t="s">
        <v>548</v>
      </c>
      <c r="D22" s="3" t="s">
        <v>520</v>
      </c>
      <c r="E22" s="3">
        <v>477007</v>
      </c>
      <c r="F22" s="3" t="s">
        <v>536</v>
      </c>
      <c r="G22" s="8" t="s">
        <v>549</v>
      </c>
      <c r="H22" s="3"/>
      <c r="I22" s="3"/>
      <c r="J22" s="3"/>
    </row>
    <row r="23" spans="1:10">
      <c r="A23" s="8">
        <v>853720265</v>
      </c>
      <c r="B23" s="3">
        <v>1</v>
      </c>
      <c r="C23" s="3" t="s">
        <v>550</v>
      </c>
      <c r="D23" s="3" t="s">
        <v>520</v>
      </c>
      <c r="E23" s="3">
        <v>297852</v>
      </c>
      <c r="F23" s="3" t="s">
        <v>294</v>
      </c>
      <c r="G23" s="8" t="s">
        <v>551</v>
      </c>
      <c r="H23" s="3"/>
      <c r="I23" s="3"/>
      <c r="J23" s="3"/>
    </row>
    <row r="24" spans="1:10">
      <c r="A24" s="8">
        <v>853550037</v>
      </c>
      <c r="B24" s="3">
        <v>1</v>
      </c>
      <c r="C24" s="3" t="s">
        <v>552</v>
      </c>
      <c r="D24" s="3" t="s">
        <v>520</v>
      </c>
      <c r="E24" s="3">
        <v>412897</v>
      </c>
      <c r="F24" s="3" t="s">
        <v>553</v>
      </c>
      <c r="G24" s="8" t="s">
        <v>554</v>
      </c>
      <c r="H24" s="3"/>
      <c r="I24" s="3"/>
      <c r="J24" s="3"/>
    </row>
    <row r="25" spans="1:10">
      <c r="A25" s="8">
        <v>853720266</v>
      </c>
      <c r="B25" s="3">
        <v>1</v>
      </c>
      <c r="C25" s="3" t="s">
        <v>555</v>
      </c>
      <c r="D25" s="3" t="s">
        <v>520</v>
      </c>
      <c r="E25" s="3">
        <v>234236</v>
      </c>
      <c r="F25" s="3" t="s">
        <v>294</v>
      </c>
      <c r="G25" s="8" t="s">
        <v>556</v>
      </c>
      <c r="H25" s="3"/>
      <c r="I25" s="3"/>
      <c r="J25" s="3"/>
    </row>
    <row r="26" spans="1:10">
      <c r="A26" s="8">
        <v>853720269</v>
      </c>
      <c r="B26" s="3">
        <v>1</v>
      </c>
      <c r="C26" s="3" t="s">
        <v>557</v>
      </c>
      <c r="D26" s="3" t="s">
        <v>520</v>
      </c>
      <c r="E26" s="3">
        <v>5958043</v>
      </c>
      <c r="F26" s="3" t="s">
        <v>267</v>
      </c>
      <c r="G26" s="8" t="s">
        <v>558</v>
      </c>
      <c r="H26" s="3"/>
      <c r="I26" s="3"/>
      <c r="J26" s="3"/>
    </row>
    <row r="27" spans="1:10">
      <c r="A27" s="8">
        <v>822720062</v>
      </c>
      <c r="B27" s="3">
        <v>1</v>
      </c>
      <c r="C27" s="3" t="s">
        <v>559</v>
      </c>
      <c r="D27" s="3" t="s">
        <v>520</v>
      </c>
      <c r="E27" s="3">
        <v>6400125</v>
      </c>
      <c r="F27" s="3" t="s">
        <v>294</v>
      </c>
      <c r="G27" s="8" t="s">
        <v>560</v>
      </c>
      <c r="H27" s="3"/>
      <c r="I27" s="3"/>
      <c r="J27" s="3"/>
    </row>
    <row r="28" spans="1:10">
      <c r="A28" s="8">
        <v>906700161</v>
      </c>
      <c r="B28" s="3">
        <v>1</v>
      </c>
      <c r="C28" s="3" t="s">
        <v>561</v>
      </c>
      <c r="D28" s="3" t="s">
        <v>520</v>
      </c>
      <c r="E28" s="3">
        <v>121904</v>
      </c>
      <c r="F28" s="3" t="s">
        <v>294</v>
      </c>
      <c r="G28" s="8" t="s">
        <v>562</v>
      </c>
      <c r="H28" s="3"/>
      <c r="I28" s="3"/>
      <c r="J28" s="3"/>
    </row>
    <row r="29" spans="1:10">
      <c r="A29" s="8"/>
      <c r="B29" s="3">
        <v>1</v>
      </c>
      <c r="C29" s="3" t="s">
        <v>563</v>
      </c>
      <c r="D29" s="3" t="s">
        <v>520</v>
      </c>
      <c r="E29" s="3">
        <v>1493</v>
      </c>
      <c r="F29" s="3" t="s">
        <v>294</v>
      </c>
      <c r="G29" s="8" t="s">
        <v>564</v>
      </c>
      <c r="H29" s="3"/>
      <c r="I29" s="3"/>
      <c r="J29" s="3"/>
    </row>
    <row r="30" spans="1:10">
      <c r="A30" s="8"/>
      <c r="B30" s="3">
        <v>1</v>
      </c>
      <c r="C30" s="3" t="s">
        <v>565</v>
      </c>
      <c r="D30" s="3" t="s">
        <v>520</v>
      </c>
      <c r="E30" s="3">
        <v>685</v>
      </c>
      <c r="F30" s="3" t="s">
        <v>294</v>
      </c>
      <c r="G30" s="8" t="s">
        <v>566</v>
      </c>
      <c r="H30" s="3"/>
      <c r="I30" s="3"/>
      <c r="J30" s="3"/>
    </row>
    <row r="31" spans="1:10">
      <c r="A31" s="8">
        <v>906700161</v>
      </c>
      <c r="B31" s="3">
        <v>1</v>
      </c>
      <c r="C31" s="3" t="s">
        <v>561</v>
      </c>
      <c r="D31" s="3" t="s">
        <v>520</v>
      </c>
      <c r="E31" s="3">
        <v>121904</v>
      </c>
      <c r="F31" s="3" t="s">
        <v>294</v>
      </c>
      <c r="G31" s="8" t="s">
        <v>562</v>
      </c>
      <c r="H31" s="3"/>
      <c r="I31" s="3"/>
      <c r="J31" s="3"/>
    </row>
    <row r="32" spans="1:10">
      <c r="A32" s="8">
        <v>906720541</v>
      </c>
      <c r="B32" s="3">
        <v>1</v>
      </c>
      <c r="C32" s="3" t="s">
        <v>567</v>
      </c>
      <c r="D32" s="3" t="s">
        <v>520</v>
      </c>
      <c r="E32" s="3">
        <v>41947</v>
      </c>
      <c r="F32" s="3" t="s">
        <v>294</v>
      </c>
      <c r="G32" s="8" t="s">
        <v>568</v>
      </c>
      <c r="H32" s="3"/>
      <c r="I32" s="3"/>
      <c r="J32" s="3"/>
    </row>
    <row r="33" spans="1:10">
      <c r="A33" s="8">
        <v>836700014</v>
      </c>
      <c r="B33" s="3">
        <v>2</v>
      </c>
      <c r="C33" s="3" t="s">
        <v>379</v>
      </c>
      <c r="D33" s="3" t="s">
        <v>520</v>
      </c>
      <c r="E33" s="3">
        <v>97485</v>
      </c>
      <c r="F33" s="3" t="s">
        <v>270</v>
      </c>
      <c r="G33" s="8" t="s">
        <v>380</v>
      </c>
      <c r="H33" s="3"/>
      <c r="I33" s="3"/>
      <c r="J33" s="3"/>
    </row>
    <row r="34" spans="1:10">
      <c r="A34" s="8">
        <v>971700224</v>
      </c>
      <c r="B34" s="3">
        <v>3</v>
      </c>
      <c r="C34" s="3" t="s">
        <v>535</v>
      </c>
      <c r="D34" s="3" t="s">
        <v>520</v>
      </c>
      <c r="E34" s="3">
        <v>6333802</v>
      </c>
      <c r="F34" s="3" t="s">
        <v>474</v>
      </c>
      <c r="G34" s="8" t="s">
        <v>569</v>
      </c>
      <c r="H34" s="3"/>
      <c r="I34" s="3"/>
      <c r="J34" s="3"/>
    </row>
    <row r="35" spans="1:10">
      <c r="A35" s="8">
        <v>836700012</v>
      </c>
      <c r="B35" s="3">
        <v>6</v>
      </c>
      <c r="C35" s="3" t="s">
        <v>534</v>
      </c>
      <c r="D35" s="3" t="s">
        <v>520</v>
      </c>
      <c r="E35" s="3">
        <v>6333803</v>
      </c>
      <c r="F35" s="3" t="s">
        <v>474</v>
      </c>
      <c r="G35" s="8" t="s">
        <v>570</v>
      </c>
      <c r="H35" s="3"/>
      <c r="I35" s="3"/>
      <c r="J35" s="3"/>
    </row>
    <row r="36" spans="1:10">
      <c r="A36" s="8">
        <v>971700061</v>
      </c>
      <c r="B36" s="3">
        <v>1</v>
      </c>
      <c r="C36" s="3" t="s">
        <v>571</v>
      </c>
      <c r="D36" s="3" t="s">
        <v>520</v>
      </c>
      <c r="E36" s="3">
        <v>332501</v>
      </c>
      <c r="F36" s="3" t="s">
        <v>572</v>
      </c>
      <c r="G36" s="8" t="s">
        <v>573</v>
      </c>
      <c r="H36" s="3"/>
      <c r="I36" s="3"/>
      <c r="J36" s="3"/>
    </row>
    <row r="37" spans="1:10">
      <c r="A37" s="8">
        <v>824550548</v>
      </c>
      <c r="B37" s="3">
        <v>1</v>
      </c>
      <c r="C37" s="3" t="s">
        <v>574</v>
      </c>
      <c r="D37" s="3" t="s">
        <v>520</v>
      </c>
      <c r="E37" s="3">
        <v>109485</v>
      </c>
      <c r="F37" s="3" t="s">
        <v>267</v>
      </c>
      <c r="G37" s="8" t="s">
        <v>575</v>
      </c>
      <c r="H37" s="3"/>
      <c r="I37" s="3"/>
      <c r="J37" s="3"/>
    </row>
    <row r="38" spans="1:10">
      <c r="A38" s="8"/>
      <c r="B38" s="3">
        <v>1</v>
      </c>
      <c r="C38" s="3" t="s">
        <v>433</v>
      </c>
      <c r="D38" s="3" t="s">
        <v>520</v>
      </c>
      <c r="E38" s="3">
        <v>406491</v>
      </c>
      <c r="F38" s="3" t="s">
        <v>267</v>
      </c>
      <c r="G38" s="8" t="s">
        <v>434</v>
      </c>
      <c r="H38" s="3"/>
      <c r="I38" s="3"/>
      <c r="J38" s="3"/>
    </row>
    <row r="39" spans="1:10">
      <c r="A39" s="8"/>
      <c r="B39" s="3">
        <v>1</v>
      </c>
      <c r="C39" s="3" t="s">
        <v>576</v>
      </c>
      <c r="D39" s="3" t="s">
        <v>520</v>
      </c>
      <c r="E39" s="3">
        <v>385479</v>
      </c>
      <c r="F39" s="3" t="s">
        <v>267</v>
      </c>
      <c r="G39" s="8" t="s">
        <v>577</v>
      </c>
      <c r="H39" s="3"/>
      <c r="I39" s="3"/>
      <c r="J39" s="3"/>
    </row>
    <row r="40" spans="1:10">
      <c r="A40" s="8">
        <v>835700005</v>
      </c>
      <c r="B40" s="3">
        <v>1</v>
      </c>
      <c r="C40" s="3" t="s">
        <v>578</v>
      </c>
      <c r="D40" s="3" t="s">
        <v>520</v>
      </c>
      <c r="E40" s="3">
        <v>6339089</v>
      </c>
      <c r="F40" s="3" t="s">
        <v>579</v>
      </c>
      <c r="G40" s="8">
        <v>23529393</v>
      </c>
      <c r="H40" s="3"/>
      <c r="I40" s="3"/>
      <c r="J40" s="3"/>
    </row>
    <row r="41" spans="1:10">
      <c r="A41" s="8"/>
      <c r="B41" s="3">
        <v>1</v>
      </c>
      <c r="C41" s="3" t="s">
        <v>580</v>
      </c>
      <c r="D41" s="3" t="s">
        <v>520</v>
      </c>
      <c r="E41" s="3">
        <v>8410457</v>
      </c>
      <c r="F41" s="3" t="s">
        <v>294</v>
      </c>
      <c r="G41" s="8" t="s">
        <v>581</v>
      </c>
      <c r="H41" s="3"/>
      <c r="I41" s="3"/>
      <c r="J41" s="3"/>
    </row>
    <row r="42" spans="1:10">
      <c r="A42" s="8"/>
      <c r="B42" s="3">
        <v>1</v>
      </c>
      <c r="C42" s="3" t="s">
        <v>582</v>
      </c>
      <c r="D42" s="3" t="s">
        <v>520</v>
      </c>
      <c r="E42" s="3">
        <v>324396</v>
      </c>
      <c r="F42" s="3" t="s">
        <v>270</v>
      </c>
      <c r="G42" s="8" t="s">
        <v>583</v>
      </c>
      <c r="H42" s="3"/>
      <c r="I42" s="3"/>
      <c r="J42" s="3"/>
    </row>
    <row r="43" spans="1:10" ht="31.5" customHeight="1">
      <c r="A43" s="83" t="s">
        <v>96</v>
      </c>
      <c r="B43" s="83"/>
      <c r="C43" s="83"/>
      <c r="D43" s="83"/>
      <c r="E43" s="83"/>
      <c r="F43" s="83"/>
      <c r="G43" s="83"/>
      <c r="H43" s="83"/>
      <c r="I43" s="83"/>
      <c r="J43" s="83"/>
    </row>
  </sheetData>
  <mergeCells count="10">
    <mergeCell ref="A43:J43"/>
    <mergeCell ref="A1:G1"/>
    <mergeCell ref="H1:J1"/>
    <mergeCell ref="A2:A3"/>
    <mergeCell ref="B2:B3"/>
    <mergeCell ref="C2:C3"/>
    <mergeCell ref="D2:E2"/>
    <mergeCell ref="F2:G2"/>
    <mergeCell ref="H2:H3"/>
    <mergeCell ref="I2:J2"/>
  </mergeCells>
  <pageMargins left="0.7" right="0.7" top="0.59333333333333338" bottom="0.75" header="0.3" footer="0.3"/>
  <pageSetup scale="65" fitToHeight="0" orientation="landscape" r:id="rId1"/>
  <headerFooter>
    <oddHeader>&amp;C&amp;"-,Bold"MIDLIFE OVERHAUL 2015-16 NEW FLYER XN40 (SR1947: 2830-2993)</oddHeader>
    <oddFooter>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752E8-769D-480D-98DB-2348C9A60FFA}">
  <sheetPr>
    <pageSetUpPr fitToPage="1"/>
  </sheetPr>
  <dimension ref="A1:J34"/>
  <sheetViews>
    <sheetView view="pageLayout" zoomScaleNormal="100" workbookViewId="0">
      <selection activeCell="D21" sqref="D21"/>
    </sheetView>
  </sheetViews>
  <sheetFormatPr defaultRowHeight="14.45"/>
  <cols>
    <col min="1" max="1" width="11" customWidth="1"/>
    <col min="2" max="2" width="4.28515625" bestFit="1" customWidth="1"/>
    <col min="3" max="3" width="39.5703125" customWidth="1"/>
    <col min="4" max="4" width="24.28515625" customWidth="1"/>
    <col min="5" max="5" width="12.5703125" customWidth="1"/>
    <col min="6" max="6" width="30.28515625" bestFit="1" customWidth="1"/>
    <col min="7" max="7" width="22.140625" customWidth="1"/>
    <col min="8" max="8" width="12.28515625" customWidth="1"/>
  </cols>
  <sheetData>
    <row r="1" spans="1:10" ht="15" customHeight="1">
      <c r="A1" s="76" t="s">
        <v>584</v>
      </c>
      <c r="B1" s="77"/>
      <c r="C1" s="77"/>
      <c r="D1" s="77"/>
      <c r="E1" s="77"/>
      <c r="F1" s="77"/>
      <c r="G1" s="78"/>
      <c r="H1" s="82" t="s">
        <v>41</v>
      </c>
      <c r="I1" s="73"/>
      <c r="J1" s="74"/>
    </row>
    <row r="2" spans="1:10">
      <c r="A2" s="72" t="s">
        <v>98</v>
      </c>
      <c r="B2" s="72" t="s">
        <v>43</v>
      </c>
      <c r="C2" s="72" t="s">
        <v>44</v>
      </c>
      <c r="D2" s="72" t="s">
        <v>45</v>
      </c>
      <c r="E2" s="72"/>
      <c r="F2" s="73" t="s">
        <v>46</v>
      </c>
      <c r="G2" s="74"/>
      <c r="H2" s="72" t="s">
        <v>47</v>
      </c>
      <c r="I2" s="75" t="s">
        <v>48</v>
      </c>
      <c r="J2" s="75"/>
    </row>
    <row r="3" spans="1:10">
      <c r="A3" s="72"/>
      <c r="B3" s="72"/>
      <c r="C3" s="72"/>
      <c r="D3" s="1" t="s">
        <v>49</v>
      </c>
      <c r="E3" s="1" t="s">
        <v>50</v>
      </c>
      <c r="F3" s="1" t="s">
        <v>49</v>
      </c>
      <c r="G3" s="1" t="s">
        <v>50</v>
      </c>
      <c r="H3" s="72"/>
      <c r="I3" s="2" t="s">
        <v>51</v>
      </c>
      <c r="J3" s="2" t="s">
        <v>52</v>
      </c>
    </row>
    <row r="4" spans="1:10">
      <c r="A4" s="3">
        <v>904700004</v>
      </c>
      <c r="B4" s="3">
        <v>1</v>
      </c>
      <c r="C4" s="3" t="s">
        <v>585</v>
      </c>
      <c r="D4" s="3" t="s">
        <v>54</v>
      </c>
      <c r="E4" s="8">
        <v>458541</v>
      </c>
      <c r="F4" s="3" t="s">
        <v>54</v>
      </c>
      <c r="G4" s="8" t="s">
        <v>586</v>
      </c>
      <c r="H4" s="3"/>
      <c r="I4" s="3"/>
      <c r="J4" s="3"/>
    </row>
    <row r="5" spans="1:10">
      <c r="A5" s="3"/>
      <c r="B5" s="3">
        <v>2</v>
      </c>
      <c r="C5" s="3" t="s">
        <v>587</v>
      </c>
      <c r="D5" s="3" t="s">
        <v>54</v>
      </c>
      <c r="E5" s="8">
        <v>72353</v>
      </c>
      <c r="F5" s="3" t="s">
        <v>59</v>
      </c>
      <c r="G5" s="8" t="s">
        <v>588</v>
      </c>
      <c r="H5" s="3"/>
      <c r="I5" s="3"/>
      <c r="J5" s="3"/>
    </row>
    <row r="6" spans="1:10">
      <c r="A6" s="3"/>
      <c r="B6" s="3">
        <v>2</v>
      </c>
      <c r="C6" s="3" t="s">
        <v>589</v>
      </c>
      <c r="D6" s="3" t="s">
        <v>54</v>
      </c>
      <c r="E6" s="8">
        <v>6410774</v>
      </c>
      <c r="F6" s="3" t="s">
        <v>59</v>
      </c>
      <c r="G6" s="8" t="s">
        <v>590</v>
      </c>
      <c r="H6" s="3"/>
      <c r="I6" s="3"/>
      <c r="J6" s="3"/>
    </row>
    <row r="7" spans="1:10">
      <c r="A7" s="3">
        <v>915550008</v>
      </c>
      <c r="B7" s="3">
        <v>1</v>
      </c>
      <c r="C7" s="3" t="s">
        <v>591</v>
      </c>
      <c r="D7" s="3" t="s">
        <v>54</v>
      </c>
      <c r="E7" s="8">
        <v>345886</v>
      </c>
      <c r="F7" s="3" t="s">
        <v>336</v>
      </c>
      <c r="G7" s="8" t="s">
        <v>592</v>
      </c>
      <c r="H7" s="3"/>
      <c r="I7" s="3"/>
      <c r="J7" s="3"/>
    </row>
    <row r="8" spans="1:10">
      <c r="A8" s="3">
        <v>992700008</v>
      </c>
      <c r="B8" s="3">
        <v>2</v>
      </c>
      <c r="C8" s="3" t="s">
        <v>365</v>
      </c>
      <c r="D8" s="3" t="s">
        <v>54</v>
      </c>
      <c r="E8" s="8">
        <v>45076</v>
      </c>
      <c r="F8" s="3" t="s">
        <v>59</v>
      </c>
      <c r="G8" s="8" t="s">
        <v>593</v>
      </c>
      <c r="H8" s="3"/>
      <c r="I8" s="3"/>
      <c r="J8" s="3"/>
    </row>
    <row r="9" spans="1:10">
      <c r="A9" s="3">
        <v>999700006</v>
      </c>
      <c r="B9" s="3">
        <v>8</v>
      </c>
      <c r="C9" s="3" t="s">
        <v>594</v>
      </c>
      <c r="D9" s="3" t="s">
        <v>54</v>
      </c>
      <c r="E9" s="8">
        <v>59209</v>
      </c>
      <c r="F9" s="3" t="s">
        <v>59</v>
      </c>
      <c r="G9" s="8" t="s">
        <v>595</v>
      </c>
      <c r="H9" s="3"/>
      <c r="I9" s="3"/>
      <c r="J9" s="3"/>
    </row>
    <row r="10" spans="1:10">
      <c r="A10" s="3">
        <v>802570004</v>
      </c>
      <c r="B10" s="3">
        <v>2</v>
      </c>
      <c r="C10" s="3" t="s">
        <v>596</v>
      </c>
      <c r="D10" s="3" t="s">
        <v>54</v>
      </c>
      <c r="E10" s="8">
        <v>109863</v>
      </c>
      <c r="F10" s="3" t="s">
        <v>359</v>
      </c>
      <c r="G10" s="8" t="s">
        <v>597</v>
      </c>
      <c r="H10" s="3"/>
      <c r="I10" s="3"/>
      <c r="J10" s="3"/>
    </row>
    <row r="11" spans="1:10">
      <c r="A11" s="3"/>
      <c r="B11" s="3">
        <v>4</v>
      </c>
      <c r="C11" s="3" t="s">
        <v>598</v>
      </c>
      <c r="D11" s="3" t="s">
        <v>54</v>
      </c>
      <c r="E11" s="8" t="s">
        <v>599</v>
      </c>
      <c r="F11" s="3" t="s">
        <v>59</v>
      </c>
      <c r="G11" s="8" t="s">
        <v>599</v>
      </c>
      <c r="H11" s="3"/>
      <c r="I11" s="3"/>
      <c r="J11" s="3"/>
    </row>
    <row r="12" spans="1:10">
      <c r="A12" s="3">
        <v>802550181</v>
      </c>
      <c r="B12" s="3">
        <v>4</v>
      </c>
      <c r="C12" s="3" t="s">
        <v>600</v>
      </c>
      <c r="D12" s="3" t="s">
        <v>54</v>
      </c>
      <c r="E12" s="8" t="s">
        <v>601</v>
      </c>
      <c r="F12" s="3" t="s">
        <v>59</v>
      </c>
      <c r="G12" s="8" t="s">
        <v>601</v>
      </c>
      <c r="H12" s="3"/>
      <c r="I12" s="3"/>
      <c r="J12" s="3"/>
    </row>
    <row r="13" spans="1:10">
      <c r="A13" s="3">
        <v>802550101</v>
      </c>
      <c r="B13" s="3">
        <v>2</v>
      </c>
      <c r="C13" s="3" t="s">
        <v>602</v>
      </c>
      <c r="D13" s="3" t="s">
        <v>54</v>
      </c>
      <c r="E13" s="8" t="s">
        <v>603</v>
      </c>
      <c r="F13" s="3" t="s">
        <v>59</v>
      </c>
      <c r="G13" s="8" t="s">
        <v>604</v>
      </c>
      <c r="H13" s="3"/>
      <c r="I13" s="3"/>
      <c r="J13" s="3"/>
    </row>
    <row r="14" spans="1:10">
      <c r="A14" s="3"/>
      <c r="B14" s="3">
        <v>8</v>
      </c>
      <c r="C14" s="3" t="s">
        <v>605</v>
      </c>
      <c r="D14" s="3" t="s">
        <v>54</v>
      </c>
      <c r="E14" s="8" t="s">
        <v>606</v>
      </c>
      <c r="F14" s="3" t="s">
        <v>54</v>
      </c>
      <c r="G14" s="8" t="s">
        <v>606</v>
      </c>
      <c r="H14" s="3"/>
      <c r="I14" s="3"/>
      <c r="J14" s="3"/>
    </row>
    <row r="15" spans="1:10">
      <c r="A15" s="3">
        <v>992700006</v>
      </c>
      <c r="B15" s="3">
        <v>16</v>
      </c>
      <c r="C15" s="3" t="s">
        <v>153</v>
      </c>
      <c r="D15" s="3" t="s">
        <v>54</v>
      </c>
      <c r="E15" s="8" t="s">
        <v>154</v>
      </c>
      <c r="F15" s="3" t="s">
        <v>59</v>
      </c>
      <c r="G15" s="8" t="s">
        <v>154</v>
      </c>
      <c r="H15" s="3"/>
      <c r="I15" s="3"/>
      <c r="J15" s="3"/>
    </row>
    <row r="16" spans="1:10">
      <c r="A16" s="3">
        <v>802720181</v>
      </c>
      <c r="B16" s="3">
        <v>4</v>
      </c>
      <c r="C16" s="3" t="s">
        <v>607</v>
      </c>
      <c r="D16" s="3" t="s">
        <v>54</v>
      </c>
      <c r="E16" s="8">
        <v>227082</v>
      </c>
      <c r="F16" s="3" t="s">
        <v>59</v>
      </c>
      <c r="G16" s="8" t="s">
        <v>608</v>
      </c>
      <c r="H16" s="3"/>
      <c r="I16" s="3"/>
      <c r="J16" s="3"/>
    </row>
    <row r="17" spans="1:10">
      <c r="A17" s="12">
        <v>811550013</v>
      </c>
      <c r="B17" s="3">
        <v>2</v>
      </c>
      <c r="C17" s="3" t="s">
        <v>609</v>
      </c>
      <c r="D17" s="3" t="s">
        <v>54</v>
      </c>
      <c r="E17" s="8">
        <v>353028</v>
      </c>
      <c r="F17" s="3" t="s">
        <v>610</v>
      </c>
      <c r="G17" s="13">
        <v>351774353028</v>
      </c>
      <c r="H17" s="3"/>
      <c r="I17" s="3"/>
      <c r="J17" s="3"/>
    </row>
    <row r="18" spans="1:10">
      <c r="A18" s="3"/>
      <c r="B18" s="3">
        <v>4</v>
      </c>
      <c r="C18" s="3" t="s">
        <v>611</v>
      </c>
      <c r="D18" s="3" t="s">
        <v>54</v>
      </c>
      <c r="E18" s="8" t="s">
        <v>612</v>
      </c>
      <c r="F18" s="3" t="s">
        <v>59</v>
      </c>
      <c r="G18" s="8" t="s">
        <v>612</v>
      </c>
      <c r="H18" s="3"/>
      <c r="I18" s="3"/>
      <c r="J18" s="3"/>
    </row>
    <row r="19" spans="1:10">
      <c r="A19" s="3">
        <v>997720441</v>
      </c>
      <c r="B19" s="3">
        <v>4</v>
      </c>
      <c r="C19" s="3" t="s">
        <v>166</v>
      </c>
      <c r="D19" s="3" t="s">
        <v>54</v>
      </c>
      <c r="E19" s="8" t="s">
        <v>167</v>
      </c>
      <c r="F19" s="3" t="s">
        <v>59</v>
      </c>
      <c r="G19" s="8" t="s">
        <v>167</v>
      </c>
      <c r="H19" s="3"/>
      <c r="I19" s="3"/>
      <c r="J19" s="3"/>
    </row>
    <row r="20" spans="1:10">
      <c r="A20" s="3">
        <v>802700007</v>
      </c>
      <c r="B20" s="3">
        <v>2</v>
      </c>
      <c r="C20" s="3" t="s">
        <v>613</v>
      </c>
      <c r="D20" s="3" t="s">
        <v>54</v>
      </c>
      <c r="E20" s="8">
        <v>492756</v>
      </c>
      <c r="F20" s="3" t="s">
        <v>359</v>
      </c>
      <c r="G20" s="8" t="s">
        <v>614</v>
      </c>
      <c r="H20" s="3"/>
      <c r="I20" s="3"/>
      <c r="J20" s="3"/>
    </row>
    <row r="21" spans="1:10">
      <c r="A21" s="3">
        <v>811700002</v>
      </c>
      <c r="B21" s="3">
        <v>2</v>
      </c>
      <c r="C21" s="3" t="s">
        <v>615</v>
      </c>
      <c r="D21" s="3" t="s">
        <v>54</v>
      </c>
      <c r="E21" s="8">
        <v>499546</v>
      </c>
      <c r="F21" s="3" t="s">
        <v>359</v>
      </c>
      <c r="G21" s="8" t="s">
        <v>616</v>
      </c>
      <c r="H21" s="3"/>
      <c r="I21" s="3"/>
      <c r="J21" s="3"/>
    </row>
    <row r="22" spans="1:10">
      <c r="A22" s="3">
        <v>841550009</v>
      </c>
      <c r="B22" s="3">
        <v>1</v>
      </c>
      <c r="C22" s="3" t="s">
        <v>617</v>
      </c>
      <c r="D22" s="3" t="s">
        <v>54</v>
      </c>
      <c r="E22" s="8">
        <v>5952265</v>
      </c>
      <c r="F22" s="3" t="s">
        <v>322</v>
      </c>
      <c r="G22" s="8" t="s">
        <v>618</v>
      </c>
      <c r="H22" s="3"/>
      <c r="I22" s="3"/>
      <c r="J22" s="3"/>
    </row>
    <row r="23" spans="1:10" s="14" customFormat="1">
      <c r="A23" s="12">
        <v>836550023</v>
      </c>
      <c r="B23" s="12">
        <v>1</v>
      </c>
      <c r="C23" s="12" t="s">
        <v>528</v>
      </c>
      <c r="D23" s="12" t="s">
        <v>54</v>
      </c>
      <c r="E23" s="8">
        <v>6405708</v>
      </c>
      <c r="F23" s="12" t="s">
        <v>474</v>
      </c>
      <c r="G23" s="11">
        <v>102408</v>
      </c>
      <c r="H23" s="12"/>
      <c r="I23" s="12"/>
      <c r="J23" s="12"/>
    </row>
    <row r="24" spans="1:10">
      <c r="A24" s="3">
        <v>980720081</v>
      </c>
      <c r="B24" s="3">
        <v>1</v>
      </c>
      <c r="C24" s="3" t="s">
        <v>619</v>
      </c>
      <c r="D24" s="3" t="s">
        <v>54</v>
      </c>
      <c r="E24" s="8">
        <v>395859</v>
      </c>
      <c r="F24" s="3" t="s">
        <v>54</v>
      </c>
      <c r="G24" s="8" t="s">
        <v>620</v>
      </c>
      <c r="H24" s="3"/>
      <c r="I24" s="3"/>
      <c r="J24" s="3"/>
    </row>
    <row r="25" spans="1:10">
      <c r="A25" s="3">
        <v>842700021</v>
      </c>
      <c r="B25" s="3">
        <v>1</v>
      </c>
      <c r="C25" s="3" t="s">
        <v>621</v>
      </c>
      <c r="D25" s="3" t="s">
        <v>54</v>
      </c>
      <c r="E25" s="8">
        <v>579382</v>
      </c>
      <c r="F25" s="3" t="s">
        <v>54</v>
      </c>
      <c r="G25" s="8" t="s">
        <v>622</v>
      </c>
      <c r="H25" s="3"/>
      <c r="I25" s="3"/>
      <c r="J25" s="3"/>
    </row>
    <row r="26" spans="1:10">
      <c r="A26" s="3"/>
      <c r="B26" s="3">
        <v>1</v>
      </c>
      <c r="C26" s="3" t="s">
        <v>623</v>
      </c>
      <c r="D26" s="3" t="s">
        <v>54</v>
      </c>
      <c r="E26" s="8">
        <v>565693</v>
      </c>
      <c r="F26" s="3" t="s">
        <v>54</v>
      </c>
      <c r="G26" s="8" t="s">
        <v>624</v>
      </c>
      <c r="H26" s="3"/>
      <c r="I26" s="3"/>
      <c r="J26" s="3"/>
    </row>
    <row r="27" spans="1:10">
      <c r="A27" s="3">
        <v>906700041</v>
      </c>
      <c r="B27" s="3">
        <v>1</v>
      </c>
      <c r="C27" s="3" t="s">
        <v>625</v>
      </c>
      <c r="D27" s="3" t="s">
        <v>54</v>
      </c>
      <c r="E27" s="8">
        <v>329564</v>
      </c>
      <c r="F27" s="3" t="s">
        <v>54</v>
      </c>
      <c r="G27" s="8" t="s">
        <v>626</v>
      </c>
      <c r="H27" s="3"/>
      <c r="I27" s="3"/>
      <c r="J27" s="3"/>
    </row>
    <row r="28" spans="1:10">
      <c r="A28" s="3">
        <v>906700007</v>
      </c>
      <c r="B28" s="3">
        <v>1</v>
      </c>
      <c r="C28" s="3" t="s">
        <v>627</v>
      </c>
      <c r="D28" s="3" t="s">
        <v>54</v>
      </c>
      <c r="E28" s="8">
        <v>51680</v>
      </c>
      <c r="F28" s="3" t="s">
        <v>214</v>
      </c>
      <c r="G28" s="8" t="s">
        <v>628</v>
      </c>
      <c r="H28" s="3"/>
      <c r="I28" s="3"/>
      <c r="J28" s="3"/>
    </row>
    <row r="29" spans="1:10">
      <c r="A29" s="3">
        <v>901700001</v>
      </c>
      <c r="B29" s="3">
        <v>1</v>
      </c>
      <c r="C29" s="3" t="s">
        <v>331</v>
      </c>
      <c r="D29" s="3" t="s">
        <v>54</v>
      </c>
      <c r="E29" s="8">
        <v>49190</v>
      </c>
      <c r="F29" s="3" t="s">
        <v>214</v>
      </c>
      <c r="G29" s="8" t="s">
        <v>332</v>
      </c>
      <c r="H29" s="3"/>
      <c r="I29" s="3"/>
      <c r="J29" s="3"/>
    </row>
    <row r="30" spans="1:10">
      <c r="A30" s="3">
        <v>986720361</v>
      </c>
      <c r="B30" s="3">
        <v>2</v>
      </c>
      <c r="C30" s="3" t="s">
        <v>629</v>
      </c>
      <c r="D30" s="3" t="s">
        <v>54</v>
      </c>
      <c r="E30" s="8">
        <v>95025</v>
      </c>
      <c r="F30" s="3" t="s">
        <v>630</v>
      </c>
      <c r="G30" s="8" t="s">
        <v>631</v>
      </c>
      <c r="H30" s="3"/>
      <c r="I30" s="3"/>
      <c r="J30" s="3"/>
    </row>
    <row r="31" spans="1:10">
      <c r="A31" s="3"/>
      <c r="B31" s="3">
        <v>1</v>
      </c>
      <c r="C31" s="3" t="s">
        <v>632</v>
      </c>
      <c r="D31" s="3" t="s">
        <v>54</v>
      </c>
      <c r="E31" s="8">
        <v>5959812</v>
      </c>
      <c r="F31" s="3" t="s">
        <v>336</v>
      </c>
      <c r="G31" s="8" t="s">
        <v>633</v>
      </c>
      <c r="H31" s="3"/>
      <c r="I31" s="3"/>
      <c r="J31" s="3"/>
    </row>
    <row r="32" spans="1:10">
      <c r="A32" s="3">
        <v>999550186</v>
      </c>
      <c r="B32" s="3">
        <v>1</v>
      </c>
      <c r="C32" s="3" t="s">
        <v>634</v>
      </c>
      <c r="D32" s="3" t="s">
        <v>54</v>
      </c>
      <c r="E32" s="8">
        <v>5959818</v>
      </c>
      <c r="F32" s="3" t="s">
        <v>267</v>
      </c>
      <c r="G32" s="8" t="s">
        <v>635</v>
      </c>
      <c r="H32" s="3"/>
      <c r="I32" s="3"/>
      <c r="J32" s="3"/>
    </row>
    <row r="33" spans="1:10">
      <c r="A33" s="3">
        <v>999650053</v>
      </c>
      <c r="B33" s="3">
        <v>1</v>
      </c>
      <c r="C33" s="3" t="s">
        <v>636</v>
      </c>
      <c r="D33" s="3" t="s">
        <v>54</v>
      </c>
      <c r="E33" s="8">
        <v>243644</v>
      </c>
      <c r="F33" s="3" t="s">
        <v>54</v>
      </c>
      <c r="G33" s="8">
        <v>243644</v>
      </c>
      <c r="H33" s="3"/>
      <c r="I33" s="3"/>
      <c r="J33" s="3"/>
    </row>
    <row r="34" spans="1:10" ht="36.75" customHeight="1">
      <c r="A34" s="83" t="s">
        <v>96</v>
      </c>
      <c r="B34" s="83"/>
      <c r="C34" s="83"/>
      <c r="D34" s="83"/>
      <c r="E34" s="83"/>
      <c r="F34" s="83"/>
      <c r="G34" s="83"/>
      <c r="H34" s="83"/>
      <c r="I34" s="83"/>
      <c r="J34" s="83"/>
    </row>
  </sheetData>
  <mergeCells count="10">
    <mergeCell ref="A34:J34"/>
    <mergeCell ref="A1:G1"/>
    <mergeCell ref="H1:J1"/>
    <mergeCell ref="A2:A3"/>
    <mergeCell ref="B2:B3"/>
    <mergeCell ref="C2:C3"/>
    <mergeCell ref="D2:E2"/>
    <mergeCell ref="F2:G2"/>
    <mergeCell ref="H2:H3"/>
    <mergeCell ref="I2:J2"/>
  </mergeCells>
  <pageMargins left="0.7" right="0.7" top="0.75" bottom="0.75" header="0.3" footer="0.3"/>
  <pageSetup scale="70" fitToHeight="0" orientation="landscape" r:id="rId1"/>
  <headerFooter>
    <oddHeader>&amp;C&amp;"-,Bold"MIDLIFE OVERHAUL 2015-16 NEW FLYER XN40 (2830-2993)</oddHeader>
    <oddFooter>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BA6F1-EDCC-4434-84D0-29926FE362AF}">
  <sheetPr>
    <pageSetUpPr fitToPage="1"/>
  </sheetPr>
  <dimension ref="A1:J23"/>
  <sheetViews>
    <sheetView view="pageLayout" topLeftCell="A10" zoomScaleNormal="100" workbookViewId="0">
      <selection activeCell="D35" sqref="D35"/>
    </sheetView>
  </sheetViews>
  <sheetFormatPr defaultRowHeight="14.45"/>
  <cols>
    <col min="1" max="1" width="11.7109375" customWidth="1"/>
    <col min="2" max="2" width="4.28515625" bestFit="1" customWidth="1"/>
    <col min="3" max="3" width="36.7109375" bestFit="1" customWidth="1"/>
    <col min="4" max="4" width="22" customWidth="1"/>
    <col min="5" max="5" width="11.7109375" customWidth="1"/>
    <col min="6" max="6" width="27" bestFit="1" customWidth="1"/>
    <col min="7" max="7" width="17.28515625" customWidth="1"/>
    <col min="8" max="8" width="12.42578125" customWidth="1"/>
    <col min="9" max="9" width="10.7109375" customWidth="1"/>
    <col min="10" max="10" width="11.28515625" customWidth="1"/>
  </cols>
  <sheetData>
    <row r="1" spans="1:10" ht="15" customHeight="1">
      <c r="A1" s="71" t="s">
        <v>637</v>
      </c>
      <c r="B1" s="71"/>
      <c r="C1" s="71"/>
      <c r="D1" s="71"/>
      <c r="E1" s="71"/>
      <c r="F1" s="71"/>
      <c r="G1" s="71"/>
      <c r="H1" s="72" t="s">
        <v>41</v>
      </c>
      <c r="I1" s="72"/>
      <c r="J1" s="72"/>
    </row>
    <row r="2" spans="1:10">
      <c r="A2" s="72" t="s">
        <v>98</v>
      </c>
      <c r="B2" s="72" t="s">
        <v>43</v>
      </c>
      <c r="C2" s="72" t="s">
        <v>44</v>
      </c>
      <c r="D2" s="72" t="s">
        <v>45</v>
      </c>
      <c r="E2" s="72"/>
      <c r="F2" s="73" t="s">
        <v>46</v>
      </c>
      <c r="G2" s="74"/>
      <c r="H2" s="72" t="s">
        <v>47</v>
      </c>
      <c r="I2" s="75" t="s">
        <v>48</v>
      </c>
      <c r="J2" s="75"/>
    </row>
    <row r="3" spans="1:10">
      <c r="A3" s="72"/>
      <c r="B3" s="72"/>
      <c r="C3" s="72"/>
      <c r="D3" s="1" t="s">
        <v>49</v>
      </c>
      <c r="E3" s="1" t="s">
        <v>50</v>
      </c>
      <c r="F3" s="1" t="s">
        <v>49</v>
      </c>
      <c r="G3" s="1" t="s">
        <v>50</v>
      </c>
      <c r="H3" s="72"/>
      <c r="I3" s="2" t="s">
        <v>51</v>
      </c>
      <c r="J3" s="2" t="s">
        <v>52</v>
      </c>
    </row>
    <row r="4" spans="1:10">
      <c r="A4" s="8">
        <v>824550281</v>
      </c>
      <c r="B4" s="3">
        <v>1</v>
      </c>
      <c r="C4" s="3" t="s">
        <v>638</v>
      </c>
      <c r="D4" s="3" t="s">
        <v>520</v>
      </c>
      <c r="E4" s="8">
        <v>489599</v>
      </c>
      <c r="F4" s="3" t="s">
        <v>267</v>
      </c>
      <c r="G4" s="8" t="s">
        <v>639</v>
      </c>
      <c r="H4" s="3"/>
      <c r="I4" s="3"/>
      <c r="J4" s="3"/>
    </row>
    <row r="5" spans="1:10">
      <c r="A5" s="8">
        <v>930700003</v>
      </c>
      <c r="B5" s="3">
        <v>1</v>
      </c>
      <c r="C5" s="3" t="s">
        <v>640</v>
      </c>
      <c r="D5" s="3" t="s">
        <v>520</v>
      </c>
      <c r="E5" s="8">
        <v>6330484</v>
      </c>
      <c r="F5" s="3" t="s">
        <v>474</v>
      </c>
      <c r="G5" s="8" t="s">
        <v>641</v>
      </c>
      <c r="H5" s="3"/>
      <c r="I5" s="3"/>
      <c r="J5" s="3"/>
    </row>
    <row r="6" spans="1:10">
      <c r="A6" s="8">
        <v>872700005</v>
      </c>
      <c r="B6" s="3">
        <v>1</v>
      </c>
      <c r="C6" s="3" t="s">
        <v>642</v>
      </c>
      <c r="D6" s="3" t="s">
        <v>520</v>
      </c>
      <c r="E6" s="8">
        <v>260807</v>
      </c>
      <c r="F6" s="3" t="s">
        <v>643</v>
      </c>
      <c r="G6" s="8" t="s">
        <v>644</v>
      </c>
      <c r="H6" s="3"/>
      <c r="I6" s="3"/>
      <c r="J6" s="3"/>
    </row>
    <row r="7" spans="1:10">
      <c r="A7" s="8"/>
      <c r="B7" s="3">
        <v>3</v>
      </c>
      <c r="C7" s="3" t="s">
        <v>645</v>
      </c>
      <c r="D7" s="3" t="s">
        <v>520</v>
      </c>
      <c r="E7" s="8">
        <v>250880</v>
      </c>
      <c r="F7" s="3" t="s">
        <v>474</v>
      </c>
      <c r="G7" s="8" t="s">
        <v>646</v>
      </c>
      <c r="H7" s="3"/>
      <c r="I7" s="3"/>
      <c r="J7" s="3"/>
    </row>
    <row r="8" spans="1:10">
      <c r="A8" s="8"/>
      <c r="B8" s="3">
        <v>4</v>
      </c>
      <c r="C8" s="3" t="s">
        <v>647</v>
      </c>
      <c r="D8" s="3" t="s">
        <v>520</v>
      </c>
      <c r="E8" s="8">
        <v>6353176</v>
      </c>
      <c r="F8" s="3" t="s">
        <v>579</v>
      </c>
      <c r="G8" s="8">
        <v>29544594</v>
      </c>
      <c r="H8" s="3"/>
      <c r="I8" s="3"/>
      <c r="J8" s="3"/>
    </row>
    <row r="9" spans="1:10">
      <c r="A9" s="8"/>
      <c r="B9" s="3">
        <v>1</v>
      </c>
      <c r="C9" s="3" t="s">
        <v>648</v>
      </c>
      <c r="D9" s="3" t="s">
        <v>520</v>
      </c>
      <c r="E9" s="8">
        <v>6341747</v>
      </c>
      <c r="F9" s="3" t="s">
        <v>579</v>
      </c>
      <c r="G9" s="8">
        <v>29527007</v>
      </c>
      <c r="H9" s="3"/>
      <c r="I9" s="3"/>
      <c r="J9" s="3"/>
    </row>
    <row r="10" spans="1:10">
      <c r="A10" s="8">
        <v>906580030</v>
      </c>
      <c r="B10" s="3">
        <v>1</v>
      </c>
      <c r="C10" s="3" t="s">
        <v>649</v>
      </c>
      <c r="D10" s="3" t="s">
        <v>520</v>
      </c>
      <c r="E10" s="8">
        <v>6334198</v>
      </c>
      <c r="F10" s="3" t="s">
        <v>579</v>
      </c>
      <c r="G10" s="8">
        <v>29557354</v>
      </c>
      <c r="H10" s="3"/>
      <c r="I10" s="3"/>
      <c r="J10" s="3"/>
    </row>
    <row r="11" spans="1:10">
      <c r="A11" s="8">
        <v>906700142</v>
      </c>
      <c r="B11" s="3">
        <v>1</v>
      </c>
      <c r="C11" s="3" t="s">
        <v>650</v>
      </c>
      <c r="D11" s="3" t="s">
        <v>520</v>
      </c>
      <c r="E11" s="8">
        <v>562945</v>
      </c>
      <c r="F11" s="3" t="s">
        <v>651</v>
      </c>
      <c r="G11" s="8" t="s">
        <v>652</v>
      </c>
      <c r="H11" s="3"/>
      <c r="I11" s="3"/>
      <c r="J11" s="3"/>
    </row>
    <row r="12" spans="1:10">
      <c r="A12" s="8"/>
      <c r="B12" s="3">
        <v>1</v>
      </c>
      <c r="C12" s="3" t="s">
        <v>653</v>
      </c>
      <c r="D12" s="3" t="s">
        <v>520</v>
      </c>
      <c r="E12" s="8">
        <v>6342061</v>
      </c>
      <c r="F12" s="3" t="s">
        <v>579</v>
      </c>
      <c r="G12" s="8">
        <v>29535973</v>
      </c>
      <c r="H12" s="3"/>
      <c r="I12" s="3"/>
      <c r="J12" s="3"/>
    </row>
    <row r="13" spans="1:10">
      <c r="A13" s="8">
        <v>986550042</v>
      </c>
      <c r="B13" s="3">
        <v>1</v>
      </c>
      <c r="C13" s="3" t="s">
        <v>654</v>
      </c>
      <c r="D13" s="3" t="s">
        <v>520</v>
      </c>
      <c r="E13" s="8">
        <v>42580</v>
      </c>
      <c r="F13" s="3" t="s">
        <v>651</v>
      </c>
      <c r="G13" s="8" t="s">
        <v>655</v>
      </c>
      <c r="H13" s="3"/>
      <c r="I13" s="3"/>
      <c r="J13" s="3"/>
    </row>
    <row r="14" spans="1:10">
      <c r="A14" s="8">
        <v>999550187</v>
      </c>
      <c r="B14" s="3">
        <v>1</v>
      </c>
      <c r="C14" s="3" t="s">
        <v>656</v>
      </c>
      <c r="D14" s="3" t="s">
        <v>520</v>
      </c>
      <c r="E14" s="8">
        <v>5946719</v>
      </c>
      <c r="F14" s="3" t="s">
        <v>267</v>
      </c>
      <c r="G14" s="8" t="s">
        <v>657</v>
      </c>
      <c r="H14" s="3"/>
      <c r="I14" s="3"/>
      <c r="J14" s="3"/>
    </row>
    <row r="15" spans="1:10">
      <c r="A15" s="8">
        <v>986550050</v>
      </c>
      <c r="B15" s="3">
        <v>1</v>
      </c>
      <c r="C15" s="3" t="s">
        <v>658</v>
      </c>
      <c r="D15" s="3" t="s">
        <v>520</v>
      </c>
      <c r="E15" s="8">
        <v>5953334</v>
      </c>
      <c r="F15" s="3" t="s">
        <v>651</v>
      </c>
      <c r="G15" s="8" t="s">
        <v>659</v>
      </c>
      <c r="H15" s="3"/>
      <c r="I15" s="3"/>
      <c r="J15" s="3"/>
    </row>
    <row r="16" spans="1:10">
      <c r="A16" s="8">
        <v>986550182</v>
      </c>
      <c r="B16" s="3">
        <v>1</v>
      </c>
      <c r="C16" s="3" t="s">
        <v>660</v>
      </c>
      <c r="D16" s="3" t="s">
        <v>520</v>
      </c>
      <c r="E16" s="8">
        <v>5991535</v>
      </c>
      <c r="F16" s="3" t="s">
        <v>270</v>
      </c>
      <c r="G16" s="8" t="s">
        <v>661</v>
      </c>
      <c r="H16" s="3"/>
      <c r="I16" s="3"/>
      <c r="J16" s="3"/>
    </row>
    <row r="17" spans="1:10">
      <c r="A17" s="8">
        <v>986550183</v>
      </c>
      <c r="B17" s="3">
        <v>1</v>
      </c>
      <c r="C17" s="3" t="s">
        <v>662</v>
      </c>
      <c r="D17" s="3" t="s">
        <v>520</v>
      </c>
      <c r="E17" s="8">
        <v>5995945</v>
      </c>
      <c r="F17" s="3" t="s">
        <v>294</v>
      </c>
      <c r="G17" s="8" t="s">
        <v>663</v>
      </c>
      <c r="H17" s="3"/>
      <c r="I17" s="3"/>
      <c r="J17" s="3"/>
    </row>
    <row r="18" spans="1:10">
      <c r="A18" s="8"/>
      <c r="B18" s="3">
        <v>1</v>
      </c>
      <c r="C18" s="3" t="s">
        <v>664</v>
      </c>
      <c r="D18" s="3" t="s">
        <v>520</v>
      </c>
      <c r="E18" s="8">
        <v>6337209</v>
      </c>
      <c r="F18" s="3" t="s">
        <v>294</v>
      </c>
      <c r="G18" s="8" t="s">
        <v>665</v>
      </c>
      <c r="H18" s="3"/>
      <c r="I18" s="3"/>
      <c r="J18" s="3"/>
    </row>
    <row r="19" spans="1:10">
      <c r="A19" s="8">
        <v>842550041</v>
      </c>
      <c r="B19" s="3">
        <v>1</v>
      </c>
      <c r="C19" s="3" t="s">
        <v>666</v>
      </c>
      <c r="D19" s="3" t="s">
        <v>520</v>
      </c>
      <c r="E19" s="8">
        <v>399079</v>
      </c>
      <c r="F19" s="3" t="s">
        <v>651</v>
      </c>
      <c r="G19" s="8" t="s">
        <v>667</v>
      </c>
      <c r="H19" s="3"/>
      <c r="I19" s="3"/>
      <c r="J19" s="3"/>
    </row>
    <row r="20" spans="1:10">
      <c r="A20" s="8"/>
      <c r="B20" s="3">
        <v>1</v>
      </c>
      <c r="C20" s="3" t="s">
        <v>542</v>
      </c>
      <c r="D20" s="3" t="s">
        <v>520</v>
      </c>
      <c r="E20" s="8">
        <v>5955061</v>
      </c>
      <c r="F20" s="3" t="s">
        <v>267</v>
      </c>
      <c r="G20" s="8" t="s">
        <v>543</v>
      </c>
      <c r="H20" s="3"/>
      <c r="I20" s="3"/>
      <c r="J20" s="3"/>
    </row>
    <row r="21" spans="1:10">
      <c r="A21" s="8">
        <v>986720365</v>
      </c>
      <c r="B21" s="3">
        <v>2</v>
      </c>
      <c r="C21" s="3" t="s">
        <v>662</v>
      </c>
      <c r="D21" s="3" t="s">
        <v>520</v>
      </c>
      <c r="E21" s="8">
        <v>5959599</v>
      </c>
      <c r="F21" s="3" t="s">
        <v>294</v>
      </c>
      <c r="G21" s="8" t="s">
        <v>668</v>
      </c>
      <c r="H21" s="3"/>
      <c r="I21" s="3"/>
      <c r="J21" s="3"/>
    </row>
    <row r="22" spans="1:10">
      <c r="A22" s="8">
        <v>984350067</v>
      </c>
      <c r="B22" s="3">
        <v>2</v>
      </c>
      <c r="C22" s="3" t="s">
        <v>669</v>
      </c>
      <c r="D22" s="3" t="s">
        <v>520</v>
      </c>
      <c r="E22" s="8">
        <v>6309879</v>
      </c>
      <c r="F22" s="3" t="s">
        <v>651</v>
      </c>
      <c r="G22" s="8" t="s">
        <v>670</v>
      </c>
      <c r="H22" s="3"/>
      <c r="I22" s="3"/>
      <c r="J22" s="3"/>
    </row>
    <row r="23" spans="1:10" ht="28.5" customHeight="1">
      <c r="A23" s="83" t="s">
        <v>96</v>
      </c>
      <c r="B23" s="83"/>
      <c r="C23" s="83"/>
      <c r="D23" s="83"/>
      <c r="E23" s="83"/>
      <c r="F23" s="83"/>
      <c r="G23" s="83"/>
      <c r="H23" s="83"/>
      <c r="I23" s="83"/>
      <c r="J23" s="83"/>
    </row>
  </sheetData>
  <mergeCells count="10">
    <mergeCell ref="A23:J23"/>
    <mergeCell ref="A1:G1"/>
    <mergeCell ref="H1:J1"/>
    <mergeCell ref="A2:A3"/>
    <mergeCell ref="B2:B3"/>
    <mergeCell ref="C2:C3"/>
    <mergeCell ref="D2:E2"/>
    <mergeCell ref="F2:G2"/>
    <mergeCell ref="H2:H3"/>
    <mergeCell ref="I2:J2"/>
  </mergeCells>
  <pageMargins left="0.7" right="0.7" top="0.75" bottom="0.75" header="0.3" footer="0.3"/>
  <pageSetup scale="74" fitToHeight="0" orientation="landscape" r:id="rId1"/>
  <headerFooter>
    <oddHeader>&amp;C&amp;"-,Bold"MIDLIFE OVERHAUL 2015-16 NEW FLYER XN40 (SR1947: 2830-2993)</oddHeader>
    <oddFooter>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6158D-4821-472D-B78B-C528ED8AF2DB}">
  <sheetPr>
    <pageSetUpPr fitToPage="1"/>
  </sheetPr>
  <dimension ref="A1:J49"/>
  <sheetViews>
    <sheetView view="pageLayout" zoomScaleNormal="100" workbookViewId="0">
      <selection activeCell="E35" sqref="E35"/>
    </sheetView>
  </sheetViews>
  <sheetFormatPr defaultRowHeight="14.45"/>
  <cols>
    <col min="1" max="1" width="11.140625" customWidth="1"/>
    <col min="2" max="2" width="4.28515625" bestFit="1" customWidth="1"/>
    <col min="3" max="3" width="37.7109375" customWidth="1"/>
    <col min="4" max="4" width="25.7109375" customWidth="1"/>
    <col min="5" max="5" width="12.28515625" customWidth="1"/>
    <col min="6" max="6" width="30.85546875" customWidth="1"/>
    <col min="7" max="7" width="19.5703125" customWidth="1"/>
    <col min="8" max="8" width="12.5703125" customWidth="1"/>
  </cols>
  <sheetData>
    <row r="1" spans="1:10" ht="15" customHeight="1">
      <c r="A1" s="71" t="s">
        <v>671</v>
      </c>
      <c r="B1" s="71"/>
      <c r="C1" s="71"/>
      <c r="D1" s="71"/>
      <c r="E1" s="71"/>
      <c r="F1" s="71"/>
      <c r="G1" s="71"/>
      <c r="H1" s="72" t="s">
        <v>41</v>
      </c>
      <c r="I1" s="72"/>
      <c r="J1" s="72"/>
    </row>
    <row r="2" spans="1:10">
      <c r="A2" s="72" t="s">
        <v>98</v>
      </c>
      <c r="B2" s="72" t="s">
        <v>43</v>
      </c>
      <c r="C2" s="72" t="s">
        <v>44</v>
      </c>
      <c r="D2" s="72" t="s">
        <v>45</v>
      </c>
      <c r="E2" s="72"/>
      <c r="F2" s="72" t="s">
        <v>46</v>
      </c>
      <c r="G2" s="72"/>
      <c r="H2" s="72" t="s">
        <v>47</v>
      </c>
      <c r="I2" s="75" t="s">
        <v>48</v>
      </c>
      <c r="J2" s="75"/>
    </row>
    <row r="3" spans="1:10">
      <c r="A3" s="72"/>
      <c r="B3" s="72"/>
      <c r="C3" s="72"/>
      <c r="D3" s="1" t="s">
        <v>49</v>
      </c>
      <c r="E3" s="1" t="s">
        <v>50</v>
      </c>
      <c r="F3" s="1" t="s">
        <v>49</v>
      </c>
      <c r="G3" s="1" t="s">
        <v>50</v>
      </c>
      <c r="H3" s="72"/>
      <c r="I3" s="2" t="s">
        <v>51</v>
      </c>
      <c r="J3" s="2" t="s">
        <v>52</v>
      </c>
    </row>
    <row r="4" spans="1:10">
      <c r="A4" s="8">
        <v>936550081</v>
      </c>
      <c r="B4" s="3">
        <v>1</v>
      </c>
      <c r="C4" s="3" t="s">
        <v>672</v>
      </c>
      <c r="D4" s="7" t="s">
        <v>54</v>
      </c>
      <c r="E4" s="3">
        <v>442386</v>
      </c>
      <c r="F4" s="7" t="s">
        <v>54</v>
      </c>
      <c r="G4" s="8" t="s">
        <v>673</v>
      </c>
      <c r="H4" s="3"/>
      <c r="I4" s="3"/>
      <c r="J4" s="3"/>
    </row>
    <row r="5" spans="1:10">
      <c r="A5" s="8">
        <v>936720083</v>
      </c>
      <c r="B5" s="3">
        <v>1</v>
      </c>
      <c r="C5" s="3" t="s">
        <v>674</v>
      </c>
      <c r="D5" s="7" t="s">
        <v>54</v>
      </c>
      <c r="E5" s="3">
        <v>456395</v>
      </c>
      <c r="F5" s="7" t="s">
        <v>54</v>
      </c>
      <c r="G5" s="8" t="s">
        <v>675</v>
      </c>
      <c r="H5" s="3"/>
      <c r="I5" s="3"/>
      <c r="J5" s="3"/>
    </row>
    <row r="6" spans="1:10">
      <c r="A6" s="8">
        <v>936720101</v>
      </c>
      <c r="B6" s="3">
        <v>1</v>
      </c>
      <c r="C6" s="3" t="s">
        <v>676</v>
      </c>
      <c r="D6" s="7" t="s">
        <v>54</v>
      </c>
      <c r="E6" s="3">
        <v>489601</v>
      </c>
      <c r="F6" s="7" t="s">
        <v>294</v>
      </c>
      <c r="G6" s="8" t="s">
        <v>677</v>
      </c>
      <c r="H6" s="3"/>
      <c r="I6" s="3"/>
      <c r="J6" s="3"/>
    </row>
    <row r="7" spans="1:10">
      <c r="A7" s="8">
        <v>936700041</v>
      </c>
      <c r="B7" s="3">
        <v>1</v>
      </c>
      <c r="C7" s="3" t="s">
        <v>678</v>
      </c>
      <c r="D7" s="7" t="s">
        <v>54</v>
      </c>
      <c r="E7" s="3">
        <v>489606</v>
      </c>
      <c r="F7" s="7" t="s">
        <v>54</v>
      </c>
      <c r="G7" s="8" t="s">
        <v>679</v>
      </c>
      <c r="H7" s="3"/>
      <c r="I7" s="3"/>
      <c r="J7" s="3"/>
    </row>
    <row r="8" spans="1:10">
      <c r="A8" s="8">
        <v>936550082</v>
      </c>
      <c r="B8" s="3">
        <v>1</v>
      </c>
      <c r="C8" s="3" t="s">
        <v>680</v>
      </c>
      <c r="D8" s="7" t="s">
        <v>54</v>
      </c>
      <c r="E8" s="3">
        <v>528621</v>
      </c>
      <c r="F8" s="7" t="s">
        <v>54</v>
      </c>
      <c r="G8" s="8" t="s">
        <v>681</v>
      </c>
      <c r="H8" s="3"/>
      <c r="I8" s="3"/>
      <c r="J8" s="3"/>
    </row>
    <row r="9" spans="1:10">
      <c r="A9" s="8">
        <v>853720141</v>
      </c>
      <c r="B9" s="3">
        <v>1</v>
      </c>
      <c r="C9" s="3" t="s">
        <v>682</v>
      </c>
      <c r="D9" s="7" t="s">
        <v>54</v>
      </c>
      <c r="E9" s="3">
        <v>426660</v>
      </c>
      <c r="F9" s="7" t="s">
        <v>54</v>
      </c>
      <c r="G9" s="8" t="s">
        <v>683</v>
      </c>
      <c r="H9" s="3"/>
      <c r="I9" s="3"/>
      <c r="J9" s="3"/>
    </row>
    <row r="10" spans="1:10">
      <c r="A10" s="8">
        <v>853700122</v>
      </c>
      <c r="B10" s="3">
        <v>1</v>
      </c>
      <c r="C10" s="3" t="s">
        <v>684</v>
      </c>
      <c r="D10" s="7" t="s">
        <v>54</v>
      </c>
      <c r="E10" s="3">
        <v>428824</v>
      </c>
      <c r="F10" s="7" t="s">
        <v>54</v>
      </c>
      <c r="G10" s="8" t="s">
        <v>685</v>
      </c>
      <c r="H10" s="3"/>
      <c r="I10" s="3"/>
      <c r="J10" s="3"/>
    </row>
    <row r="11" spans="1:10">
      <c r="A11" s="8">
        <v>853700121</v>
      </c>
      <c r="B11" s="3">
        <v>1</v>
      </c>
      <c r="C11" s="3" t="s">
        <v>686</v>
      </c>
      <c r="D11" s="7" t="s">
        <v>54</v>
      </c>
      <c r="E11" s="3">
        <v>576122</v>
      </c>
      <c r="F11" s="7" t="s">
        <v>54</v>
      </c>
      <c r="G11" s="8" t="s">
        <v>687</v>
      </c>
      <c r="H11" s="3"/>
      <c r="I11" s="3"/>
      <c r="J11" s="3"/>
    </row>
    <row r="12" spans="1:10">
      <c r="A12" s="8">
        <v>906700016</v>
      </c>
      <c r="B12" s="3">
        <v>1</v>
      </c>
      <c r="C12" s="3" t="s">
        <v>688</v>
      </c>
      <c r="D12" s="7" t="s">
        <v>54</v>
      </c>
      <c r="E12" s="12">
        <v>550857</v>
      </c>
      <c r="F12" s="7" t="s">
        <v>54</v>
      </c>
      <c r="G12" s="8" t="s">
        <v>689</v>
      </c>
      <c r="H12" s="3"/>
      <c r="I12" s="3"/>
      <c r="J12" s="3"/>
    </row>
    <row r="13" spans="1:10">
      <c r="A13" s="8">
        <v>906700121</v>
      </c>
      <c r="B13" s="3">
        <v>1</v>
      </c>
      <c r="C13" s="3" t="s">
        <v>690</v>
      </c>
      <c r="D13" s="7" t="s">
        <v>54</v>
      </c>
      <c r="E13" s="3">
        <v>6366944</v>
      </c>
      <c r="F13" s="7" t="s">
        <v>54</v>
      </c>
      <c r="G13" s="15">
        <v>6366944</v>
      </c>
      <c r="H13" s="3"/>
      <c r="I13" s="3"/>
      <c r="J13" s="3"/>
    </row>
    <row r="14" spans="1:10">
      <c r="A14" s="8"/>
      <c r="B14" s="3">
        <v>1</v>
      </c>
      <c r="C14" s="3" t="s">
        <v>691</v>
      </c>
      <c r="D14" s="7" t="s">
        <v>54</v>
      </c>
      <c r="E14" s="3">
        <v>6366943</v>
      </c>
      <c r="F14" s="7" t="s">
        <v>54</v>
      </c>
      <c r="G14" s="15">
        <v>6366943</v>
      </c>
      <c r="H14" s="3"/>
      <c r="I14" s="3"/>
      <c r="J14" s="3"/>
    </row>
    <row r="15" spans="1:10">
      <c r="A15" s="8">
        <v>906700141</v>
      </c>
      <c r="B15" s="3">
        <v>1</v>
      </c>
      <c r="C15" s="3" t="s">
        <v>692</v>
      </c>
      <c r="D15" s="7" t="s">
        <v>54</v>
      </c>
      <c r="E15" s="3">
        <v>511519</v>
      </c>
      <c r="F15" s="3" t="s">
        <v>54</v>
      </c>
      <c r="G15" s="8" t="s">
        <v>693</v>
      </c>
      <c r="H15" s="3"/>
      <c r="I15" s="3"/>
      <c r="J15" s="3"/>
    </row>
    <row r="16" spans="1:10">
      <c r="A16" s="8">
        <v>833720005</v>
      </c>
      <c r="B16" s="3">
        <v>4</v>
      </c>
      <c r="C16" s="3" t="s">
        <v>694</v>
      </c>
      <c r="D16" s="7" t="s">
        <v>54</v>
      </c>
      <c r="E16" s="3">
        <v>260697</v>
      </c>
      <c r="F16" s="3" t="s">
        <v>319</v>
      </c>
      <c r="G16" s="8" t="s">
        <v>695</v>
      </c>
      <c r="H16" s="3"/>
      <c r="I16" s="3"/>
      <c r="J16" s="3"/>
    </row>
    <row r="17" spans="1:10">
      <c r="A17" s="8">
        <v>824550343</v>
      </c>
      <c r="B17" s="3">
        <v>4</v>
      </c>
      <c r="C17" s="3" t="s">
        <v>696</v>
      </c>
      <c r="D17" s="7" t="s">
        <v>54</v>
      </c>
      <c r="E17" s="3">
        <v>555446</v>
      </c>
      <c r="F17" s="3" t="s">
        <v>54</v>
      </c>
      <c r="G17" s="15" t="s">
        <v>697</v>
      </c>
      <c r="H17" s="3"/>
      <c r="I17" s="3"/>
      <c r="J17" s="3"/>
    </row>
    <row r="18" spans="1:10">
      <c r="A18" s="8">
        <v>824700161</v>
      </c>
      <c r="B18" s="3">
        <v>4</v>
      </c>
      <c r="C18" s="3" t="s">
        <v>698</v>
      </c>
      <c r="D18" s="7" t="s">
        <v>54</v>
      </c>
      <c r="E18" s="3">
        <v>555447</v>
      </c>
      <c r="F18" s="16" t="s">
        <v>699</v>
      </c>
      <c r="G18" s="15" t="s">
        <v>700</v>
      </c>
      <c r="H18" s="3"/>
      <c r="I18" s="3"/>
      <c r="J18" s="3"/>
    </row>
    <row r="19" spans="1:10">
      <c r="A19" s="8">
        <v>824550342</v>
      </c>
      <c r="B19" s="3">
        <v>4</v>
      </c>
      <c r="C19" s="3" t="s">
        <v>701</v>
      </c>
      <c r="D19" s="7" t="s">
        <v>54</v>
      </c>
      <c r="E19" s="3">
        <v>555448</v>
      </c>
      <c r="F19" s="16" t="s">
        <v>699</v>
      </c>
      <c r="G19" s="15" t="s">
        <v>702</v>
      </c>
      <c r="H19" s="3"/>
      <c r="I19" s="3"/>
      <c r="J19" s="3"/>
    </row>
    <row r="20" spans="1:10">
      <c r="A20" s="8">
        <v>824550362</v>
      </c>
      <c r="B20" s="3">
        <v>1</v>
      </c>
      <c r="C20" s="3" t="s">
        <v>703</v>
      </c>
      <c r="D20" s="7" t="s">
        <v>54</v>
      </c>
      <c r="E20" s="3">
        <v>553566</v>
      </c>
      <c r="F20" s="3" t="s">
        <v>54</v>
      </c>
      <c r="G20" s="8" t="s">
        <v>704</v>
      </c>
      <c r="H20" s="3"/>
      <c r="I20" s="3"/>
      <c r="J20" s="3"/>
    </row>
    <row r="21" spans="1:10">
      <c r="A21" s="8">
        <v>824550543</v>
      </c>
      <c r="B21" s="3">
        <v>2</v>
      </c>
      <c r="C21" s="3" t="s">
        <v>705</v>
      </c>
      <c r="D21" s="7" t="s">
        <v>54</v>
      </c>
      <c r="E21" s="3">
        <v>556632</v>
      </c>
      <c r="F21" s="3" t="s">
        <v>54</v>
      </c>
      <c r="G21" s="8" t="s">
        <v>706</v>
      </c>
      <c r="H21" s="3"/>
      <c r="I21" s="3"/>
      <c r="J21" s="3"/>
    </row>
    <row r="22" spans="1:10">
      <c r="A22" s="15">
        <v>824720842</v>
      </c>
      <c r="B22" s="3">
        <v>1</v>
      </c>
      <c r="C22" s="3" t="s">
        <v>707</v>
      </c>
      <c r="D22" s="7" t="s">
        <v>54</v>
      </c>
      <c r="E22" s="3">
        <v>6488446</v>
      </c>
      <c r="F22" s="16" t="s">
        <v>699</v>
      </c>
      <c r="G22" s="8">
        <v>6488446</v>
      </c>
      <c r="H22" s="3"/>
      <c r="I22" s="3"/>
      <c r="J22" s="3"/>
    </row>
    <row r="23" spans="1:10">
      <c r="A23" s="15">
        <v>824720846</v>
      </c>
      <c r="B23" s="3">
        <v>1</v>
      </c>
      <c r="C23" s="3" t="s">
        <v>708</v>
      </c>
      <c r="D23" s="7" t="s">
        <v>54</v>
      </c>
      <c r="E23" s="3">
        <v>54061</v>
      </c>
      <c r="F23" s="7" t="s">
        <v>709</v>
      </c>
      <c r="G23" s="15">
        <v>54061</v>
      </c>
      <c r="H23" s="3"/>
      <c r="I23" s="3"/>
      <c r="J23" s="3"/>
    </row>
    <row r="24" spans="1:10">
      <c r="A24" s="15">
        <v>824720847</v>
      </c>
      <c r="B24" s="3">
        <v>1</v>
      </c>
      <c r="C24" s="3" t="s">
        <v>710</v>
      </c>
      <c r="D24" s="7" t="s">
        <v>54</v>
      </c>
      <c r="E24" s="3">
        <v>6488447</v>
      </c>
      <c r="F24" s="16" t="s">
        <v>699</v>
      </c>
      <c r="G24" s="15">
        <v>6488447</v>
      </c>
      <c r="H24" s="3"/>
      <c r="I24" s="3"/>
      <c r="J24" s="3"/>
    </row>
    <row r="25" spans="1:10">
      <c r="A25" s="15">
        <v>824700121</v>
      </c>
      <c r="B25" s="3">
        <v>1</v>
      </c>
      <c r="C25" s="3" t="s">
        <v>711</v>
      </c>
      <c r="D25" s="7" t="s">
        <v>54</v>
      </c>
      <c r="E25" s="3">
        <v>518607</v>
      </c>
      <c r="F25" s="7" t="s">
        <v>54</v>
      </c>
      <c r="G25" s="8" t="s">
        <v>712</v>
      </c>
      <c r="H25" s="3"/>
      <c r="I25" s="3"/>
      <c r="J25" s="3"/>
    </row>
    <row r="26" spans="1:10">
      <c r="A26" s="15">
        <v>824700141</v>
      </c>
      <c r="B26" s="3">
        <v>1</v>
      </c>
      <c r="C26" s="3" t="s">
        <v>713</v>
      </c>
      <c r="D26" s="7" t="s">
        <v>54</v>
      </c>
      <c r="E26" s="3">
        <v>518608</v>
      </c>
      <c r="F26" s="7" t="s">
        <v>54</v>
      </c>
      <c r="G26" s="8" t="s">
        <v>714</v>
      </c>
      <c r="H26" s="3"/>
      <c r="I26" s="3"/>
      <c r="J26" s="3"/>
    </row>
    <row r="27" spans="1:10">
      <c r="A27" s="15">
        <v>824700142</v>
      </c>
      <c r="B27" s="3">
        <v>1</v>
      </c>
      <c r="C27" s="3" t="s">
        <v>715</v>
      </c>
      <c r="D27" s="7" t="s">
        <v>54</v>
      </c>
      <c r="E27" s="3">
        <v>521567</v>
      </c>
      <c r="F27" s="7" t="s">
        <v>54</v>
      </c>
      <c r="G27" s="8" t="s">
        <v>716</v>
      </c>
      <c r="H27" s="3"/>
      <c r="I27" s="3"/>
      <c r="J27" s="3"/>
    </row>
    <row r="28" spans="1:10">
      <c r="A28" s="15">
        <v>824700143</v>
      </c>
      <c r="B28" s="3">
        <v>1</v>
      </c>
      <c r="C28" s="3" t="s">
        <v>717</v>
      </c>
      <c r="D28" s="7" t="s">
        <v>54</v>
      </c>
      <c r="E28" s="3">
        <v>580473</v>
      </c>
      <c r="F28" s="17" t="s">
        <v>54</v>
      </c>
      <c r="G28" s="8" t="s">
        <v>718</v>
      </c>
      <c r="H28" s="3"/>
      <c r="I28" s="3"/>
      <c r="J28" s="3"/>
    </row>
    <row r="29" spans="1:10">
      <c r="A29" s="15">
        <v>824720848</v>
      </c>
      <c r="B29" s="3">
        <v>1</v>
      </c>
      <c r="C29" s="3" t="s">
        <v>719</v>
      </c>
      <c r="D29" s="7" t="s">
        <v>54</v>
      </c>
      <c r="E29" s="3">
        <v>6488449</v>
      </c>
      <c r="F29" s="16" t="s">
        <v>699</v>
      </c>
      <c r="G29" s="15">
        <v>6488448</v>
      </c>
      <c r="H29" s="3"/>
      <c r="I29" s="3"/>
      <c r="J29" s="3"/>
    </row>
    <row r="30" spans="1:10">
      <c r="A30" s="15">
        <v>824720849</v>
      </c>
      <c r="B30" s="3">
        <v>1</v>
      </c>
      <c r="C30" s="3" t="s">
        <v>720</v>
      </c>
      <c r="D30" s="7" t="s">
        <v>54</v>
      </c>
      <c r="E30" s="3">
        <v>6474961</v>
      </c>
      <c r="F30" s="16" t="s">
        <v>699</v>
      </c>
      <c r="G30" s="15">
        <v>6474961</v>
      </c>
      <c r="H30" s="3"/>
      <c r="I30" s="3"/>
      <c r="J30" s="3"/>
    </row>
    <row r="31" spans="1:10">
      <c r="A31" s="15">
        <v>824720850</v>
      </c>
      <c r="B31" s="3">
        <v>1</v>
      </c>
      <c r="C31" s="3" t="s">
        <v>721</v>
      </c>
      <c r="D31" s="7" t="s">
        <v>54</v>
      </c>
      <c r="E31" s="3">
        <v>6488449</v>
      </c>
      <c r="F31" s="10" t="s">
        <v>699</v>
      </c>
      <c r="G31" s="15">
        <v>6488449</v>
      </c>
      <c r="H31" s="3"/>
      <c r="I31" s="3"/>
      <c r="J31" s="3"/>
    </row>
    <row r="32" spans="1:10">
      <c r="A32" s="8">
        <v>841720007</v>
      </c>
      <c r="B32" s="3">
        <v>10</v>
      </c>
      <c r="C32" s="3" t="s">
        <v>722</v>
      </c>
      <c r="D32" s="7" t="s">
        <v>54</v>
      </c>
      <c r="E32" s="3">
        <v>165544</v>
      </c>
      <c r="F32" s="7" t="s">
        <v>54</v>
      </c>
      <c r="G32" s="15" t="s">
        <v>493</v>
      </c>
      <c r="H32" s="3"/>
      <c r="I32" s="3"/>
      <c r="J32" s="3"/>
    </row>
    <row r="33" spans="1:10">
      <c r="A33" s="8">
        <v>824550682</v>
      </c>
      <c r="B33" s="3">
        <v>5</v>
      </c>
      <c r="C33" s="3" t="s">
        <v>723</v>
      </c>
      <c r="D33" s="7" t="s">
        <v>54</v>
      </c>
      <c r="E33" s="3">
        <v>367201</v>
      </c>
      <c r="F33" s="7" t="s">
        <v>54</v>
      </c>
      <c r="G33" s="15" t="s">
        <v>724</v>
      </c>
      <c r="H33" s="3"/>
      <c r="I33" s="3"/>
      <c r="J33" s="3"/>
    </row>
    <row r="34" spans="1:10">
      <c r="A34" s="8">
        <v>824550344</v>
      </c>
      <c r="B34" s="3">
        <v>5</v>
      </c>
      <c r="C34" s="3" t="s">
        <v>725</v>
      </c>
      <c r="D34" s="7" t="s">
        <v>54</v>
      </c>
      <c r="E34" s="3">
        <v>555451</v>
      </c>
      <c r="F34" s="7" t="s">
        <v>54</v>
      </c>
      <c r="G34" s="15" t="s">
        <v>726</v>
      </c>
      <c r="H34" s="3"/>
      <c r="I34" s="3"/>
      <c r="J34" s="3"/>
    </row>
    <row r="35" spans="1:10">
      <c r="A35" s="8">
        <v>824700163</v>
      </c>
      <c r="B35" s="3">
        <v>1</v>
      </c>
      <c r="C35" s="3" t="s">
        <v>727</v>
      </c>
      <c r="D35" s="7" t="s">
        <v>54</v>
      </c>
      <c r="E35" s="3">
        <v>488440</v>
      </c>
      <c r="F35" s="7" t="s">
        <v>54</v>
      </c>
      <c r="G35" s="15" t="s">
        <v>728</v>
      </c>
      <c r="H35" s="3"/>
      <c r="I35" s="3"/>
      <c r="J35" s="3"/>
    </row>
    <row r="36" spans="1:10">
      <c r="A36" s="8">
        <v>835700341</v>
      </c>
      <c r="B36" s="3">
        <v>1</v>
      </c>
      <c r="C36" s="3" t="s">
        <v>729</v>
      </c>
      <c r="D36" s="7" t="s">
        <v>54</v>
      </c>
      <c r="E36" s="3">
        <v>406907</v>
      </c>
      <c r="F36" s="7" t="s">
        <v>54</v>
      </c>
      <c r="G36" s="15" t="s">
        <v>730</v>
      </c>
      <c r="H36" s="3"/>
      <c r="I36" s="3"/>
      <c r="J36" s="3"/>
    </row>
    <row r="37" spans="1:10">
      <c r="A37" s="8">
        <v>824550442</v>
      </c>
      <c r="B37" s="3">
        <v>4</v>
      </c>
      <c r="C37" s="3" t="s">
        <v>731</v>
      </c>
      <c r="D37" s="7" t="s">
        <v>54</v>
      </c>
      <c r="E37" s="3">
        <v>553437</v>
      </c>
      <c r="F37" s="7" t="s">
        <v>54</v>
      </c>
      <c r="G37" s="15" t="s">
        <v>732</v>
      </c>
      <c r="H37" s="3"/>
      <c r="I37" s="3"/>
      <c r="J37" s="3"/>
    </row>
    <row r="38" spans="1:10">
      <c r="A38" s="8"/>
      <c r="B38" s="3">
        <v>1</v>
      </c>
      <c r="C38" s="3" t="s">
        <v>733</v>
      </c>
      <c r="D38" s="7" t="s">
        <v>54</v>
      </c>
      <c r="E38" s="3">
        <v>572938</v>
      </c>
      <c r="F38" s="7" t="s">
        <v>54</v>
      </c>
      <c r="G38" s="15" t="s">
        <v>734</v>
      </c>
      <c r="H38" s="3"/>
      <c r="I38" s="3"/>
      <c r="J38" s="3"/>
    </row>
    <row r="39" spans="1:10">
      <c r="A39" s="8">
        <v>835720301</v>
      </c>
      <c r="B39" s="3">
        <v>8</v>
      </c>
      <c r="C39" s="3" t="s">
        <v>735</v>
      </c>
      <c r="D39" s="7" t="s">
        <v>54</v>
      </c>
      <c r="E39" s="3">
        <v>573027</v>
      </c>
      <c r="F39" s="7" t="s">
        <v>54</v>
      </c>
      <c r="G39" s="15" t="s">
        <v>736</v>
      </c>
      <c r="H39" s="3"/>
      <c r="I39" s="3"/>
      <c r="J39" s="3"/>
    </row>
    <row r="40" spans="1:10">
      <c r="A40" s="8"/>
      <c r="B40" s="3">
        <v>1</v>
      </c>
      <c r="C40" s="3" t="s">
        <v>737</v>
      </c>
      <c r="D40" s="7" t="s">
        <v>54</v>
      </c>
      <c r="E40" s="3">
        <v>506730</v>
      </c>
      <c r="F40" s="7" t="s">
        <v>54</v>
      </c>
      <c r="G40" s="15" t="s">
        <v>738</v>
      </c>
      <c r="H40" s="3"/>
      <c r="I40" s="3"/>
      <c r="J40" s="3"/>
    </row>
    <row r="41" spans="1:10">
      <c r="A41" s="8">
        <v>843720181</v>
      </c>
      <c r="B41" s="3">
        <v>1</v>
      </c>
      <c r="C41" s="3" t="s">
        <v>739</v>
      </c>
      <c r="D41" s="7" t="s">
        <v>54</v>
      </c>
      <c r="E41" s="3">
        <v>386463</v>
      </c>
      <c r="F41" s="7" t="s">
        <v>54</v>
      </c>
      <c r="G41" s="15" t="s">
        <v>740</v>
      </c>
      <c r="H41" s="3"/>
      <c r="I41" s="3"/>
      <c r="J41" s="3"/>
    </row>
    <row r="42" spans="1:10">
      <c r="A42" s="8"/>
      <c r="B42" s="3">
        <v>1</v>
      </c>
      <c r="C42" s="3" t="s">
        <v>741</v>
      </c>
      <c r="D42" s="7" t="s">
        <v>54</v>
      </c>
      <c r="E42" s="3">
        <v>420033</v>
      </c>
      <c r="F42" s="7" t="s">
        <v>54</v>
      </c>
      <c r="G42" s="15" t="s">
        <v>742</v>
      </c>
      <c r="H42" s="3"/>
      <c r="I42" s="3"/>
      <c r="J42" s="3"/>
    </row>
    <row r="43" spans="1:10">
      <c r="A43" s="8">
        <v>986700182</v>
      </c>
      <c r="B43" s="3">
        <v>1</v>
      </c>
      <c r="C43" s="3" t="s">
        <v>743</v>
      </c>
      <c r="D43" s="7" t="s">
        <v>54</v>
      </c>
      <c r="E43" s="3">
        <v>344351</v>
      </c>
      <c r="F43" s="7" t="s">
        <v>54</v>
      </c>
      <c r="G43" s="15" t="s">
        <v>744</v>
      </c>
      <c r="H43" s="3"/>
      <c r="I43" s="3"/>
      <c r="J43" s="3"/>
    </row>
    <row r="44" spans="1:10">
      <c r="A44" s="8"/>
      <c r="B44" s="3">
        <v>1</v>
      </c>
      <c r="C44" s="3" t="s">
        <v>745</v>
      </c>
      <c r="D44" s="7" t="s">
        <v>54</v>
      </c>
      <c r="E44" s="3">
        <v>428667</v>
      </c>
      <c r="F44" s="7" t="s">
        <v>54</v>
      </c>
      <c r="G44" s="15" t="s">
        <v>746</v>
      </c>
      <c r="H44" s="3"/>
      <c r="I44" s="3"/>
      <c r="J44" s="3"/>
    </row>
    <row r="45" spans="1:10">
      <c r="A45" s="8">
        <v>853720121</v>
      </c>
      <c r="B45" s="3">
        <v>1</v>
      </c>
      <c r="C45" s="3" t="s">
        <v>747</v>
      </c>
      <c r="D45" s="7" t="s">
        <v>54</v>
      </c>
      <c r="E45" s="3">
        <v>411075</v>
      </c>
      <c r="F45" s="7" t="s">
        <v>54</v>
      </c>
      <c r="G45" s="15" t="s">
        <v>748</v>
      </c>
      <c r="H45" s="3"/>
      <c r="I45" s="3"/>
      <c r="J45" s="3"/>
    </row>
    <row r="46" spans="1:10">
      <c r="A46" s="8">
        <v>999700101</v>
      </c>
      <c r="B46" s="3">
        <v>4</v>
      </c>
      <c r="C46" s="3" t="s">
        <v>749</v>
      </c>
      <c r="D46" s="7" t="s">
        <v>54</v>
      </c>
      <c r="E46" s="3">
        <v>553564</v>
      </c>
      <c r="F46" s="7" t="s">
        <v>54</v>
      </c>
      <c r="G46" s="15" t="s">
        <v>750</v>
      </c>
      <c r="H46" s="3"/>
      <c r="I46" s="3"/>
      <c r="J46" s="3"/>
    </row>
    <row r="47" spans="1:10">
      <c r="A47" s="8">
        <v>824550342</v>
      </c>
      <c r="B47" s="3">
        <v>4</v>
      </c>
      <c r="C47" s="3" t="s">
        <v>701</v>
      </c>
      <c r="D47" s="7" t="s">
        <v>54</v>
      </c>
      <c r="E47" s="3">
        <v>555448</v>
      </c>
      <c r="F47" s="7" t="s">
        <v>54</v>
      </c>
      <c r="G47" s="15" t="s">
        <v>702</v>
      </c>
      <c r="H47" s="3"/>
      <c r="I47" s="3"/>
      <c r="J47" s="3"/>
    </row>
    <row r="48" spans="1:10">
      <c r="A48" s="8">
        <v>999700102</v>
      </c>
      <c r="B48" s="3">
        <v>4</v>
      </c>
      <c r="C48" s="3" t="s">
        <v>751</v>
      </c>
      <c r="D48" s="7" t="s">
        <v>54</v>
      </c>
      <c r="E48" s="3">
        <v>553560</v>
      </c>
      <c r="F48" s="7" t="s">
        <v>54</v>
      </c>
      <c r="G48" s="15" t="s">
        <v>752</v>
      </c>
      <c r="H48" s="3"/>
      <c r="I48" s="3"/>
      <c r="J48" s="3"/>
    </row>
    <row r="49" spans="1:10" ht="30.75" customHeight="1">
      <c r="A49" s="68" t="s">
        <v>96</v>
      </c>
      <c r="B49" s="69"/>
      <c r="C49" s="69"/>
      <c r="D49" s="69"/>
      <c r="E49" s="69"/>
      <c r="F49" s="69"/>
      <c r="G49" s="69"/>
      <c r="H49" s="69"/>
      <c r="I49" s="69"/>
      <c r="J49" s="70"/>
    </row>
  </sheetData>
  <mergeCells count="10">
    <mergeCell ref="A49:J49"/>
    <mergeCell ref="A1:G1"/>
    <mergeCell ref="H1:J1"/>
    <mergeCell ref="A2:A3"/>
    <mergeCell ref="B2:B3"/>
    <mergeCell ref="C2:C3"/>
    <mergeCell ref="D2:E2"/>
    <mergeCell ref="F2:G2"/>
    <mergeCell ref="H2:H3"/>
    <mergeCell ref="I2:J2"/>
  </mergeCells>
  <pageMargins left="0.7" right="0.7" top="0.59791666666666665" bottom="0.75" header="0.3" footer="0.3"/>
  <pageSetup scale="70" fitToHeight="0" orientation="landscape" r:id="rId1"/>
  <headerFooter>
    <oddHeader>&amp;C&amp;"-,Bold"MIDLIFE OVERHAUL 2015-16 NEW FLYER XN40 (SR1947: 2830-2993)</oddHeader>
    <oddFooter>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D9709-EA63-4D14-B847-E27B1342B1A7}">
  <sheetPr>
    <pageSetUpPr fitToPage="1"/>
  </sheetPr>
  <dimension ref="A1:J83"/>
  <sheetViews>
    <sheetView view="pageLayout" topLeftCell="A49" zoomScaleNormal="100" workbookViewId="0">
      <selection activeCell="E72" sqref="E72"/>
    </sheetView>
  </sheetViews>
  <sheetFormatPr defaultRowHeight="14.45"/>
  <cols>
    <col min="1" max="1" width="11.7109375" customWidth="1"/>
    <col min="2" max="2" width="4.28515625" bestFit="1" customWidth="1"/>
    <col min="3" max="3" width="52.85546875" customWidth="1"/>
    <col min="4" max="4" width="23.85546875" customWidth="1"/>
    <col min="5" max="5" width="10.5703125" customWidth="1"/>
    <col min="6" max="6" width="30.28515625" bestFit="1" customWidth="1"/>
    <col min="7" max="7" width="17.42578125" customWidth="1"/>
    <col min="8" max="8" width="12" customWidth="1"/>
    <col min="9" max="10" width="12.28515625" customWidth="1"/>
  </cols>
  <sheetData>
    <row r="1" spans="1:10" ht="15" customHeight="1">
      <c r="A1" s="71" t="s">
        <v>753</v>
      </c>
      <c r="B1" s="71"/>
      <c r="C1" s="71"/>
      <c r="D1" s="71"/>
      <c r="E1" s="71"/>
      <c r="F1" s="71"/>
      <c r="G1" s="71"/>
      <c r="H1" s="72" t="s">
        <v>41</v>
      </c>
      <c r="I1" s="72"/>
      <c r="J1" s="72"/>
    </row>
    <row r="2" spans="1:10">
      <c r="A2" s="72" t="s">
        <v>98</v>
      </c>
      <c r="B2" s="72" t="s">
        <v>43</v>
      </c>
      <c r="C2" s="72" t="s">
        <v>44</v>
      </c>
      <c r="D2" s="72" t="s">
        <v>45</v>
      </c>
      <c r="E2" s="72"/>
      <c r="F2" s="72" t="s">
        <v>46</v>
      </c>
      <c r="G2" s="72"/>
      <c r="H2" s="72" t="s">
        <v>47</v>
      </c>
      <c r="I2" s="75" t="s">
        <v>48</v>
      </c>
      <c r="J2" s="75"/>
    </row>
    <row r="3" spans="1:10">
      <c r="A3" s="72"/>
      <c r="B3" s="72"/>
      <c r="C3" s="72"/>
      <c r="D3" s="1" t="s">
        <v>49</v>
      </c>
      <c r="E3" s="1" t="s">
        <v>50</v>
      </c>
      <c r="F3" s="1" t="s">
        <v>49</v>
      </c>
      <c r="G3" s="1" t="s">
        <v>50</v>
      </c>
      <c r="H3" s="72"/>
      <c r="I3" s="2" t="s">
        <v>51</v>
      </c>
      <c r="J3" s="2" t="s">
        <v>52</v>
      </c>
    </row>
    <row r="4" spans="1:10">
      <c r="A4" s="8"/>
      <c r="B4" s="3">
        <v>1</v>
      </c>
      <c r="C4" s="3" t="s">
        <v>754</v>
      </c>
      <c r="D4" s="3" t="s">
        <v>54</v>
      </c>
      <c r="E4" s="8">
        <v>534089</v>
      </c>
      <c r="F4" s="3" t="s">
        <v>54</v>
      </c>
      <c r="G4" s="8" t="s">
        <v>755</v>
      </c>
      <c r="H4" s="3"/>
      <c r="I4" s="3"/>
      <c r="J4" s="3"/>
    </row>
    <row r="5" spans="1:10">
      <c r="A5" s="8">
        <v>955660006</v>
      </c>
      <c r="B5" s="3">
        <v>2</v>
      </c>
      <c r="C5" s="3" t="s">
        <v>756</v>
      </c>
      <c r="D5" s="3" t="s">
        <v>54</v>
      </c>
      <c r="E5" s="8">
        <v>5947153</v>
      </c>
      <c r="F5" s="3" t="s">
        <v>54</v>
      </c>
      <c r="G5" s="8" t="s">
        <v>757</v>
      </c>
      <c r="H5" s="3"/>
      <c r="I5" s="3"/>
      <c r="J5" s="3"/>
    </row>
    <row r="6" spans="1:10">
      <c r="A6" s="8">
        <v>955550022</v>
      </c>
      <c r="B6" s="3">
        <v>1</v>
      </c>
      <c r="C6" s="3" t="s">
        <v>758</v>
      </c>
      <c r="D6" s="3" t="s">
        <v>54</v>
      </c>
      <c r="E6" s="8">
        <v>561933</v>
      </c>
      <c r="F6" s="3" t="s">
        <v>54</v>
      </c>
      <c r="G6" s="8" t="s">
        <v>759</v>
      </c>
      <c r="H6" s="3"/>
      <c r="I6" s="3"/>
      <c r="J6" s="3"/>
    </row>
    <row r="7" spans="1:10">
      <c r="A7" s="8"/>
      <c r="B7" s="3">
        <v>1</v>
      </c>
      <c r="C7" s="3" t="s">
        <v>760</v>
      </c>
      <c r="D7" s="3" t="s">
        <v>54</v>
      </c>
      <c r="E7" s="8">
        <v>477422</v>
      </c>
      <c r="F7" s="3" t="s">
        <v>54</v>
      </c>
      <c r="G7" s="8" t="s">
        <v>761</v>
      </c>
      <c r="H7" s="3"/>
      <c r="I7" s="3"/>
      <c r="J7" s="3"/>
    </row>
    <row r="8" spans="1:10">
      <c r="A8" s="8">
        <v>832560004</v>
      </c>
      <c r="B8" s="3">
        <v>2</v>
      </c>
      <c r="C8" s="3" t="s">
        <v>762</v>
      </c>
      <c r="D8" s="3" t="s">
        <v>54</v>
      </c>
      <c r="E8" s="8">
        <v>205227</v>
      </c>
      <c r="F8" s="3" t="s">
        <v>763</v>
      </c>
      <c r="G8" s="8" t="s">
        <v>764</v>
      </c>
      <c r="H8" s="3"/>
      <c r="I8" s="3"/>
      <c r="J8" s="3"/>
    </row>
    <row r="9" spans="1:10">
      <c r="A9" s="8">
        <v>921720241</v>
      </c>
      <c r="B9" s="3">
        <v>1</v>
      </c>
      <c r="C9" s="3" t="s">
        <v>765</v>
      </c>
      <c r="D9" s="3" t="s">
        <v>54</v>
      </c>
      <c r="E9" s="8">
        <v>503138</v>
      </c>
      <c r="F9" s="3" t="s">
        <v>54</v>
      </c>
      <c r="G9" s="8" t="s">
        <v>766</v>
      </c>
      <c r="H9" s="3"/>
      <c r="I9" s="3"/>
      <c r="J9" s="3"/>
    </row>
    <row r="10" spans="1:10">
      <c r="A10" s="8">
        <v>882700042</v>
      </c>
      <c r="B10" s="3">
        <v>2</v>
      </c>
      <c r="C10" s="3" t="s">
        <v>767</v>
      </c>
      <c r="D10" s="3" t="s">
        <v>54</v>
      </c>
      <c r="E10" s="8">
        <v>5925959</v>
      </c>
      <c r="F10" s="3" t="s">
        <v>54</v>
      </c>
      <c r="G10" s="8" t="s">
        <v>768</v>
      </c>
      <c r="H10" s="3"/>
      <c r="I10" s="3"/>
      <c r="J10" s="3"/>
    </row>
    <row r="11" spans="1:10">
      <c r="A11" s="8">
        <v>882550561</v>
      </c>
      <c r="B11" s="3">
        <v>1</v>
      </c>
      <c r="C11" s="3" t="s">
        <v>769</v>
      </c>
      <c r="D11" s="3" t="s">
        <v>54</v>
      </c>
      <c r="E11" s="8">
        <v>254212</v>
      </c>
      <c r="F11" s="3" t="s">
        <v>54</v>
      </c>
      <c r="G11" s="8" t="s">
        <v>770</v>
      </c>
      <c r="H11" s="3"/>
      <c r="I11" s="3"/>
      <c r="J11" s="3"/>
    </row>
    <row r="12" spans="1:10">
      <c r="A12" s="8">
        <v>861550041</v>
      </c>
      <c r="B12" s="3">
        <v>2</v>
      </c>
      <c r="C12" s="3" t="s">
        <v>771</v>
      </c>
      <c r="D12" s="3" t="s">
        <v>54</v>
      </c>
      <c r="E12" s="8">
        <v>419760</v>
      </c>
      <c r="F12" s="3" t="s">
        <v>763</v>
      </c>
      <c r="G12" s="8" t="s">
        <v>772</v>
      </c>
      <c r="H12" s="3"/>
      <c r="I12" s="3"/>
      <c r="J12" s="3"/>
    </row>
    <row r="13" spans="1:10">
      <c r="A13" s="8">
        <v>999650053</v>
      </c>
      <c r="B13" s="3">
        <v>1</v>
      </c>
      <c r="C13" s="3" t="s">
        <v>773</v>
      </c>
      <c r="D13" s="3" t="s">
        <v>54</v>
      </c>
      <c r="E13" s="8">
        <v>243644</v>
      </c>
      <c r="F13" s="3" t="s">
        <v>54</v>
      </c>
      <c r="G13" s="8">
        <v>243644</v>
      </c>
      <c r="H13" s="3"/>
      <c r="I13" s="3"/>
      <c r="J13" s="3"/>
    </row>
    <row r="14" spans="1:10">
      <c r="A14" s="8">
        <v>824550161</v>
      </c>
      <c r="B14" s="3">
        <v>2</v>
      </c>
      <c r="C14" s="3" t="s">
        <v>774</v>
      </c>
      <c r="D14" s="3" t="s">
        <v>54</v>
      </c>
      <c r="E14" s="8">
        <v>358855</v>
      </c>
      <c r="F14" s="3" t="s">
        <v>54</v>
      </c>
      <c r="G14" s="8" t="s">
        <v>775</v>
      </c>
      <c r="H14" s="3"/>
      <c r="I14" s="3"/>
      <c r="J14" s="3"/>
    </row>
    <row r="15" spans="1:10">
      <c r="A15" s="8">
        <v>986550058</v>
      </c>
      <c r="B15" s="3">
        <v>2</v>
      </c>
      <c r="C15" s="3" t="s">
        <v>776</v>
      </c>
      <c r="D15" s="3" t="s">
        <v>54</v>
      </c>
      <c r="E15" s="8">
        <v>336035</v>
      </c>
      <c r="F15" s="3" t="s">
        <v>777</v>
      </c>
      <c r="G15" s="8" t="s">
        <v>778</v>
      </c>
      <c r="H15" s="3"/>
      <c r="I15" s="3"/>
      <c r="J15" s="3"/>
    </row>
    <row r="16" spans="1:10">
      <c r="A16" s="8"/>
      <c r="B16" s="3">
        <v>1</v>
      </c>
      <c r="C16" s="3" t="s">
        <v>779</v>
      </c>
      <c r="D16" s="3" t="s">
        <v>54</v>
      </c>
      <c r="E16" s="8">
        <v>581579</v>
      </c>
      <c r="F16" s="3" t="s">
        <v>54</v>
      </c>
      <c r="G16" s="8" t="s">
        <v>780</v>
      </c>
      <c r="H16" s="3"/>
      <c r="I16" s="3"/>
      <c r="J16" s="3"/>
    </row>
    <row r="17" spans="1:10">
      <c r="A17" s="8">
        <v>955660006</v>
      </c>
      <c r="B17" s="3">
        <v>2</v>
      </c>
      <c r="C17" s="3" t="s">
        <v>756</v>
      </c>
      <c r="D17" s="3" t="s">
        <v>54</v>
      </c>
      <c r="E17" s="8">
        <v>5947153</v>
      </c>
      <c r="F17" s="3" t="s">
        <v>54</v>
      </c>
      <c r="G17" s="8" t="s">
        <v>757</v>
      </c>
      <c r="H17" s="3"/>
      <c r="I17" s="3"/>
      <c r="J17" s="3"/>
    </row>
    <row r="18" spans="1:10">
      <c r="A18" s="8">
        <v>986550161</v>
      </c>
      <c r="B18" s="3">
        <v>1</v>
      </c>
      <c r="C18" s="3" t="s">
        <v>781</v>
      </c>
      <c r="D18" s="3" t="s">
        <v>54</v>
      </c>
      <c r="E18" s="8">
        <v>430036</v>
      </c>
      <c r="F18" s="3" t="s">
        <v>54</v>
      </c>
      <c r="G18" s="8" t="s">
        <v>782</v>
      </c>
      <c r="H18" s="3"/>
      <c r="I18" s="3"/>
      <c r="J18" s="3"/>
    </row>
    <row r="19" spans="1:10">
      <c r="A19" s="8"/>
      <c r="B19" s="3">
        <v>1</v>
      </c>
      <c r="C19" s="3" t="s">
        <v>783</v>
      </c>
      <c r="D19" s="3" t="s">
        <v>54</v>
      </c>
      <c r="E19" s="8">
        <v>495608</v>
      </c>
      <c r="F19" s="3" t="s">
        <v>54</v>
      </c>
      <c r="G19" s="8" t="s">
        <v>784</v>
      </c>
      <c r="H19" s="3"/>
      <c r="I19" s="3"/>
      <c r="J19" s="3"/>
    </row>
    <row r="20" spans="1:10">
      <c r="A20" s="8">
        <v>955550004</v>
      </c>
      <c r="B20" s="3">
        <v>2</v>
      </c>
      <c r="C20" s="3" t="s">
        <v>758</v>
      </c>
      <c r="D20" s="3" t="s">
        <v>54</v>
      </c>
      <c r="E20" s="8">
        <v>228742</v>
      </c>
      <c r="F20" s="3" t="s">
        <v>54</v>
      </c>
      <c r="G20" s="8" t="s">
        <v>785</v>
      </c>
      <c r="H20" s="3"/>
      <c r="I20" s="3"/>
      <c r="J20" s="3"/>
    </row>
    <row r="21" spans="1:10">
      <c r="A21" s="8">
        <v>980700021</v>
      </c>
      <c r="B21" s="3">
        <v>2</v>
      </c>
      <c r="C21" s="3" t="s">
        <v>786</v>
      </c>
      <c r="D21" s="3" t="s">
        <v>54</v>
      </c>
      <c r="E21" s="8">
        <v>495556</v>
      </c>
      <c r="F21" s="3" t="s">
        <v>54</v>
      </c>
      <c r="G21" s="8" t="s">
        <v>787</v>
      </c>
      <c r="H21" s="3"/>
      <c r="I21" s="3"/>
      <c r="J21" s="3"/>
    </row>
    <row r="22" spans="1:10">
      <c r="A22" s="8">
        <v>824550161</v>
      </c>
      <c r="B22" s="3">
        <v>2</v>
      </c>
      <c r="C22" s="3" t="s">
        <v>788</v>
      </c>
      <c r="D22" s="3" t="s">
        <v>54</v>
      </c>
      <c r="E22" s="8">
        <v>358855</v>
      </c>
      <c r="F22" s="3" t="s">
        <v>54</v>
      </c>
      <c r="G22" s="8" t="s">
        <v>775</v>
      </c>
      <c r="H22" s="3"/>
      <c r="I22" s="3"/>
      <c r="J22" s="3"/>
    </row>
    <row r="23" spans="1:10">
      <c r="A23" s="8">
        <v>955700017</v>
      </c>
      <c r="B23" s="3">
        <v>1</v>
      </c>
      <c r="C23" s="3" t="s">
        <v>789</v>
      </c>
      <c r="D23" s="3" t="s">
        <v>54</v>
      </c>
      <c r="E23" s="8">
        <v>5940039</v>
      </c>
      <c r="F23" s="3" t="s">
        <v>54</v>
      </c>
      <c r="G23" s="8" t="s">
        <v>790</v>
      </c>
      <c r="H23" s="3"/>
      <c r="I23" s="3"/>
      <c r="J23" s="3"/>
    </row>
    <row r="24" spans="1:10">
      <c r="A24" s="8">
        <v>882700281</v>
      </c>
      <c r="B24" s="3">
        <v>1</v>
      </c>
      <c r="C24" s="3" t="s">
        <v>791</v>
      </c>
      <c r="D24" s="3" t="s">
        <v>54</v>
      </c>
      <c r="E24" s="8">
        <v>586716</v>
      </c>
      <c r="F24" s="3" t="s">
        <v>54</v>
      </c>
      <c r="G24" s="8" t="s">
        <v>792</v>
      </c>
      <c r="H24" s="3"/>
      <c r="I24" s="3"/>
      <c r="J24" s="3"/>
    </row>
    <row r="25" spans="1:10">
      <c r="A25" s="8"/>
      <c r="B25" s="3">
        <v>2</v>
      </c>
      <c r="C25" s="3" t="s">
        <v>793</v>
      </c>
      <c r="D25" s="3" t="s">
        <v>54</v>
      </c>
      <c r="E25" s="8" t="s">
        <v>794</v>
      </c>
      <c r="F25" s="3" t="s">
        <v>59</v>
      </c>
      <c r="G25" s="8" t="s">
        <v>794</v>
      </c>
      <c r="H25" s="3"/>
      <c r="I25" s="3"/>
      <c r="J25" s="3"/>
    </row>
    <row r="26" spans="1:10">
      <c r="A26" s="8">
        <v>882720881</v>
      </c>
      <c r="B26" s="3">
        <v>1</v>
      </c>
      <c r="C26" s="3" t="s">
        <v>795</v>
      </c>
      <c r="D26" s="3" t="s">
        <v>54</v>
      </c>
      <c r="E26" s="8">
        <v>598467</v>
      </c>
      <c r="F26" s="7" t="s">
        <v>796</v>
      </c>
      <c r="G26" s="13" t="s">
        <v>797</v>
      </c>
      <c r="H26" s="3"/>
      <c r="I26" s="3"/>
      <c r="J26" s="3"/>
    </row>
    <row r="27" spans="1:10">
      <c r="A27" s="8">
        <v>966550004</v>
      </c>
      <c r="B27" s="3">
        <v>1</v>
      </c>
      <c r="C27" s="3" t="s">
        <v>798</v>
      </c>
      <c r="D27" s="3" t="s">
        <v>54</v>
      </c>
      <c r="E27" s="8">
        <v>8112383</v>
      </c>
      <c r="F27" s="3" t="s">
        <v>54</v>
      </c>
      <c r="G27" s="8">
        <v>8112383</v>
      </c>
      <c r="H27" s="3"/>
      <c r="I27" s="3"/>
      <c r="J27" s="3"/>
    </row>
    <row r="28" spans="1:10">
      <c r="A28" s="15">
        <v>971551071</v>
      </c>
      <c r="B28" s="12">
        <v>1</v>
      </c>
      <c r="C28" s="12" t="s">
        <v>799</v>
      </c>
      <c r="D28" s="3" t="s">
        <v>54</v>
      </c>
      <c r="E28" s="8">
        <v>694777</v>
      </c>
      <c r="F28" s="16" t="s">
        <v>800</v>
      </c>
      <c r="G28" s="13" t="s">
        <v>801</v>
      </c>
      <c r="H28" s="3"/>
      <c r="I28" s="3"/>
      <c r="J28" s="3"/>
    </row>
    <row r="29" spans="1:10">
      <c r="A29" s="8">
        <v>882700033</v>
      </c>
      <c r="B29" s="3">
        <v>1</v>
      </c>
      <c r="C29" s="3" t="s">
        <v>802</v>
      </c>
      <c r="D29" s="3" t="s">
        <v>54</v>
      </c>
      <c r="E29" s="8">
        <v>5951270</v>
      </c>
      <c r="F29" s="3" t="s">
        <v>54</v>
      </c>
      <c r="G29" s="8" t="s">
        <v>803</v>
      </c>
      <c r="H29" s="3"/>
      <c r="I29" s="3"/>
      <c r="J29" s="3"/>
    </row>
    <row r="30" spans="1:10">
      <c r="A30" s="8">
        <v>882720361</v>
      </c>
      <c r="B30" s="3">
        <v>2</v>
      </c>
      <c r="C30" s="3" t="s">
        <v>804</v>
      </c>
      <c r="D30" s="3" t="s">
        <v>54</v>
      </c>
      <c r="E30" s="8">
        <v>449400</v>
      </c>
      <c r="F30" s="3" t="s">
        <v>54</v>
      </c>
      <c r="G30" s="8" t="s">
        <v>805</v>
      </c>
      <c r="H30" s="3"/>
      <c r="I30" s="3"/>
      <c r="J30" s="3"/>
    </row>
    <row r="31" spans="1:10">
      <c r="A31" s="8">
        <v>880550004</v>
      </c>
      <c r="B31" s="3">
        <v>1</v>
      </c>
      <c r="C31" s="3" t="s">
        <v>806</v>
      </c>
      <c r="D31" s="3" t="s">
        <v>54</v>
      </c>
      <c r="E31" s="8">
        <v>8112123</v>
      </c>
      <c r="F31" s="3" t="s">
        <v>763</v>
      </c>
      <c r="G31" s="8" t="s">
        <v>807</v>
      </c>
      <c r="H31" s="3"/>
      <c r="I31" s="3"/>
      <c r="J31" s="3"/>
    </row>
    <row r="32" spans="1:10">
      <c r="A32" s="8">
        <v>972700058</v>
      </c>
      <c r="B32" s="3">
        <v>1</v>
      </c>
      <c r="C32" s="3" t="s">
        <v>808</v>
      </c>
      <c r="D32" s="3" t="s">
        <v>54</v>
      </c>
      <c r="E32" s="8">
        <v>5955564</v>
      </c>
      <c r="F32" s="3" t="s">
        <v>763</v>
      </c>
      <c r="G32" s="8" t="s">
        <v>809</v>
      </c>
      <c r="H32" s="3"/>
      <c r="I32" s="3"/>
      <c r="J32" s="3"/>
    </row>
    <row r="33" spans="1:10">
      <c r="A33" s="8" t="s">
        <v>810</v>
      </c>
      <c r="B33" s="3">
        <v>1</v>
      </c>
      <c r="C33" s="3" t="s">
        <v>811</v>
      </c>
      <c r="D33" s="3" t="s">
        <v>54</v>
      </c>
      <c r="E33" s="8">
        <v>54415</v>
      </c>
      <c r="F33" s="3" t="s">
        <v>812</v>
      </c>
      <c r="G33" s="8" t="s">
        <v>813</v>
      </c>
      <c r="H33" s="3"/>
      <c r="I33" s="3"/>
      <c r="J33" s="3"/>
    </row>
    <row r="34" spans="1:10">
      <c r="A34" s="8">
        <v>881550357</v>
      </c>
      <c r="B34" s="3">
        <v>1</v>
      </c>
      <c r="C34" s="3" t="s">
        <v>814</v>
      </c>
      <c r="D34" s="3" t="s">
        <v>54</v>
      </c>
      <c r="E34" s="8">
        <v>103030</v>
      </c>
      <c r="F34" s="3" t="s">
        <v>54</v>
      </c>
      <c r="G34" s="8" t="s">
        <v>815</v>
      </c>
      <c r="H34" s="3"/>
      <c r="I34" s="3"/>
      <c r="J34" s="3"/>
    </row>
    <row r="35" spans="1:10">
      <c r="A35" s="8">
        <v>881550373</v>
      </c>
      <c r="B35" s="3">
        <v>1</v>
      </c>
      <c r="C35" s="3" t="s">
        <v>816</v>
      </c>
      <c r="D35" s="3" t="s">
        <v>54</v>
      </c>
      <c r="E35" s="8">
        <v>554125</v>
      </c>
      <c r="F35" s="3" t="s">
        <v>796</v>
      </c>
      <c r="G35" s="8" t="s">
        <v>817</v>
      </c>
      <c r="H35" s="3"/>
      <c r="I35" s="3"/>
      <c r="J35" s="3"/>
    </row>
    <row r="36" spans="1:10">
      <c r="A36" s="8">
        <v>986550047</v>
      </c>
      <c r="B36" s="3">
        <v>1</v>
      </c>
      <c r="C36" s="3" t="s">
        <v>818</v>
      </c>
      <c r="D36" s="3" t="s">
        <v>54</v>
      </c>
      <c r="E36" s="8">
        <v>5963962</v>
      </c>
      <c r="F36" s="3" t="s">
        <v>54</v>
      </c>
      <c r="G36" s="8" t="s">
        <v>819</v>
      </c>
      <c r="H36" s="3"/>
      <c r="I36" s="3"/>
      <c r="J36" s="3"/>
    </row>
    <row r="37" spans="1:10">
      <c r="A37" s="8">
        <v>972550231</v>
      </c>
      <c r="B37" s="3">
        <v>1</v>
      </c>
      <c r="C37" s="3" t="s">
        <v>820</v>
      </c>
      <c r="D37" s="3" t="s">
        <v>54</v>
      </c>
      <c r="E37" s="8">
        <v>281977</v>
      </c>
      <c r="F37" s="3" t="s">
        <v>214</v>
      </c>
      <c r="G37" s="8" t="s">
        <v>821</v>
      </c>
      <c r="H37" s="3"/>
      <c r="I37" s="3"/>
      <c r="J37" s="3"/>
    </row>
    <row r="38" spans="1:10">
      <c r="A38" s="8">
        <v>972551252</v>
      </c>
      <c r="B38" s="3">
        <v>2</v>
      </c>
      <c r="C38" s="3" t="s">
        <v>822</v>
      </c>
      <c r="D38" s="3" t="s">
        <v>54</v>
      </c>
      <c r="E38" s="8">
        <v>437799</v>
      </c>
      <c r="F38" s="3" t="s">
        <v>54</v>
      </c>
      <c r="G38" s="8" t="s">
        <v>823</v>
      </c>
      <c r="H38" s="3"/>
      <c r="I38" s="3"/>
      <c r="J38" s="3"/>
    </row>
    <row r="39" spans="1:10">
      <c r="A39" s="8">
        <v>972551251</v>
      </c>
      <c r="B39" s="3">
        <v>1</v>
      </c>
      <c r="C39" s="3" t="s">
        <v>822</v>
      </c>
      <c r="D39" s="3" t="s">
        <v>54</v>
      </c>
      <c r="E39" s="8">
        <v>391850</v>
      </c>
      <c r="F39" s="3" t="s">
        <v>54</v>
      </c>
      <c r="G39" s="8" t="s">
        <v>824</v>
      </c>
      <c r="H39" s="3"/>
      <c r="I39" s="3"/>
      <c r="J39" s="3"/>
    </row>
    <row r="40" spans="1:10">
      <c r="A40" s="15">
        <v>983700001</v>
      </c>
      <c r="B40" s="3">
        <v>4</v>
      </c>
      <c r="C40" s="3" t="s">
        <v>825</v>
      </c>
      <c r="D40" s="3" t="s">
        <v>54</v>
      </c>
      <c r="E40" s="8">
        <v>45418</v>
      </c>
      <c r="F40" s="3" t="s">
        <v>826</v>
      </c>
      <c r="G40" s="8">
        <v>45418</v>
      </c>
      <c r="H40" s="3"/>
      <c r="I40" s="3"/>
      <c r="J40" s="3"/>
    </row>
    <row r="41" spans="1:10">
      <c r="A41" s="8">
        <v>982700001</v>
      </c>
      <c r="B41" s="3">
        <v>2</v>
      </c>
      <c r="C41" s="3" t="s">
        <v>827</v>
      </c>
      <c r="D41" s="3" t="s">
        <v>54</v>
      </c>
      <c r="E41" s="8">
        <v>33877</v>
      </c>
      <c r="F41" s="3" t="s">
        <v>54</v>
      </c>
      <c r="G41" s="8" t="s">
        <v>828</v>
      </c>
      <c r="H41" s="3"/>
      <c r="I41" s="3"/>
      <c r="J41" s="3"/>
    </row>
    <row r="42" spans="1:10">
      <c r="A42" s="8">
        <v>972550217</v>
      </c>
      <c r="B42" s="3">
        <v>4</v>
      </c>
      <c r="C42" s="3" t="s">
        <v>829</v>
      </c>
      <c r="D42" s="3" t="s">
        <v>54</v>
      </c>
      <c r="E42" s="8">
        <v>8410601</v>
      </c>
      <c r="F42" s="3" t="s">
        <v>59</v>
      </c>
      <c r="G42" s="8" t="s">
        <v>830</v>
      </c>
      <c r="H42" s="3"/>
      <c r="I42" s="3"/>
      <c r="J42" s="3"/>
    </row>
    <row r="43" spans="1:10">
      <c r="A43" s="8">
        <v>992550003</v>
      </c>
      <c r="B43" s="3">
        <v>12</v>
      </c>
      <c r="C43" s="3" t="s">
        <v>831</v>
      </c>
      <c r="D43" s="3" t="s">
        <v>54</v>
      </c>
      <c r="E43" s="8" t="s">
        <v>832</v>
      </c>
      <c r="F43" s="3" t="s">
        <v>59</v>
      </c>
      <c r="G43" s="8" t="s">
        <v>832</v>
      </c>
      <c r="H43" s="3"/>
      <c r="I43" s="3"/>
      <c r="J43" s="3"/>
    </row>
    <row r="44" spans="1:10">
      <c r="A44" s="8">
        <v>972551312</v>
      </c>
      <c r="B44" s="3">
        <v>1</v>
      </c>
      <c r="C44" s="3" t="s">
        <v>833</v>
      </c>
      <c r="D44" s="3" t="s">
        <v>54</v>
      </c>
      <c r="E44" s="8">
        <v>392283</v>
      </c>
      <c r="F44" s="3" t="s">
        <v>54</v>
      </c>
      <c r="G44" s="8" t="s">
        <v>834</v>
      </c>
      <c r="H44" s="3"/>
      <c r="I44" s="3"/>
      <c r="J44" s="3"/>
    </row>
    <row r="45" spans="1:10">
      <c r="A45" s="8">
        <v>881700642</v>
      </c>
      <c r="B45" s="3">
        <v>1</v>
      </c>
      <c r="C45" s="3" t="s">
        <v>835</v>
      </c>
      <c r="D45" s="3" t="s">
        <v>54</v>
      </c>
      <c r="E45" s="8">
        <v>590684</v>
      </c>
      <c r="F45" s="3" t="s">
        <v>54</v>
      </c>
      <c r="G45" s="8" t="s">
        <v>836</v>
      </c>
      <c r="H45" s="3"/>
      <c r="I45" s="3"/>
      <c r="J45" s="3"/>
    </row>
    <row r="46" spans="1:10">
      <c r="A46" s="8">
        <v>881700641</v>
      </c>
      <c r="B46" s="3">
        <v>1</v>
      </c>
      <c r="C46" s="3" t="s">
        <v>837</v>
      </c>
      <c r="D46" s="3" t="s">
        <v>54</v>
      </c>
      <c r="E46" s="8">
        <v>590685</v>
      </c>
      <c r="F46" s="3" t="s">
        <v>54</v>
      </c>
      <c r="G46" s="8" t="s">
        <v>838</v>
      </c>
      <c r="H46" s="3"/>
      <c r="I46" s="3"/>
      <c r="J46" s="3"/>
    </row>
    <row r="47" spans="1:10">
      <c r="A47" s="8"/>
      <c r="B47" s="3">
        <v>1</v>
      </c>
      <c r="C47" s="3" t="s">
        <v>839</v>
      </c>
      <c r="D47" s="3" t="s">
        <v>54</v>
      </c>
      <c r="E47" s="8">
        <v>550582</v>
      </c>
      <c r="F47" s="3" t="s">
        <v>54</v>
      </c>
      <c r="G47" s="8" t="s">
        <v>840</v>
      </c>
      <c r="H47" s="3"/>
      <c r="I47" s="3"/>
      <c r="J47" s="3"/>
    </row>
    <row r="48" spans="1:10">
      <c r="A48" s="8">
        <v>881550628</v>
      </c>
      <c r="B48" s="3">
        <v>8</v>
      </c>
      <c r="C48" s="3" t="s">
        <v>841</v>
      </c>
      <c r="D48" s="3" t="s">
        <v>54</v>
      </c>
      <c r="E48" s="8">
        <v>274089</v>
      </c>
      <c r="F48" s="3" t="s">
        <v>54</v>
      </c>
      <c r="G48" s="8" t="s">
        <v>842</v>
      </c>
      <c r="H48" s="3"/>
      <c r="I48" s="3"/>
      <c r="J48" s="3"/>
    </row>
    <row r="49" spans="1:10">
      <c r="A49" s="8">
        <v>881721081</v>
      </c>
      <c r="B49" s="3">
        <v>1</v>
      </c>
      <c r="C49" s="3" t="s">
        <v>843</v>
      </c>
      <c r="D49" s="3" t="s">
        <v>54</v>
      </c>
      <c r="E49" s="8">
        <v>392091</v>
      </c>
      <c r="F49" s="3" t="s">
        <v>54</v>
      </c>
      <c r="G49" s="8" t="s">
        <v>844</v>
      </c>
      <c r="H49" s="3"/>
      <c r="I49" s="3"/>
      <c r="J49" s="3"/>
    </row>
    <row r="50" spans="1:10">
      <c r="A50" s="8">
        <v>881550044</v>
      </c>
      <c r="B50" s="3">
        <v>3</v>
      </c>
      <c r="C50" s="3" t="s">
        <v>845</v>
      </c>
      <c r="D50" s="3" t="s">
        <v>54</v>
      </c>
      <c r="E50" s="8">
        <v>379015</v>
      </c>
      <c r="F50" s="3" t="s">
        <v>54</v>
      </c>
      <c r="G50" s="8" t="s">
        <v>846</v>
      </c>
      <c r="H50" s="3"/>
      <c r="I50" s="3"/>
      <c r="J50" s="3"/>
    </row>
    <row r="51" spans="1:10">
      <c r="A51" s="8">
        <v>861700016</v>
      </c>
      <c r="B51" s="3">
        <v>4</v>
      </c>
      <c r="C51" s="3" t="s">
        <v>847</v>
      </c>
      <c r="D51" s="3" t="s">
        <v>54</v>
      </c>
      <c r="E51" s="8">
        <v>351956</v>
      </c>
      <c r="F51" s="3" t="s">
        <v>54</v>
      </c>
      <c r="G51" s="8" t="s">
        <v>848</v>
      </c>
      <c r="H51" s="3"/>
      <c r="I51" s="3"/>
      <c r="J51" s="3"/>
    </row>
    <row r="52" spans="1:10">
      <c r="A52" s="8">
        <v>861720024</v>
      </c>
      <c r="B52" s="3">
        <v>1</v>
      </c>
      <c r="C52" s="3" t="s">
        <v>849</v>
      </c>
      <c r="D52" s="3" t="s">
        <v>54</v>
      </c>
      <c r="E52" s="8">
        <v>330985</v>
      </c>
      <c r="F52" s="3" t="s">
        <v>54</v>
      </c>
      <c r="G52" s="8" t="s">
        <v>850</v>
      </c>
      <c r="H52" s="3"/>
      <c r="I52" s="3"/>
      <c r="J52" s="3"/>
    </row>
    <row r="53" spans="1:10">
      <c r="A53" s="8">
        <v>881720501</v>
      </c>
      <c r="B53" s="3">
        <v>1</v>
      </c>
      <c r="C53" s="3" t="s">
        <v>851</v>
      </c>
      <c r="D53" s="3" t="s">
        <v>54</v>
      </c>
      <c r="E53" s="8">
        <v>590557</v>
      </c>
      <c r="F53" s="3" t="s">
        <v>54</v>
      </c>
      <c r="G53" s="8" t="s">
        <v>852</v>
      </c>
      <c r="H53" s="3"/>
      <c r="I53" s="3"/>
      <c r="J53" s="3"/>
    </row>
    <row r="54" spans="1:10">
      <c r="A54" s="8">
        <v>986720401</v>
      </c>
      <c r="B54" s="3">
        <v>1</v>
      </c>
      <c r="C54" s="3" t="s">
        <v>853</v>
      </c>
      <c r="D54" s="3" t="s">
        <v>54</v>
      </c>
      <c r="E54" s="8">
        <v>444089</v>
      </c>
      <c r="F54" s="3" t="s">
        <v>54</v>
      </c>
      <c r="G54" s="8" t="s">
        <v>854</v>
      </c>
      <c r="H54" s="3"/>
      <c r="I54" s="3"/>
      <c r="J54" s="3"/>
    </row>
    <row r="55" spans="1:10">
      <c r="A55" s="8"/>
      <c r="B55" s="3">
        <v>1</v>
      </c>
      <c r="C55" s="3" t="s">
        <v>855</v>
      </c>
      <c r="D55" s="3" t="s">
        <v>54</v>
      </c>
      <c r="E55" s="8">
        <v>510115</v>
      </c>
      <c r="F55" s="3" t="s">
        <v>54</v>
      </c>
      <c r="G55" s="8" t="s">
        <v>856</v>
      </c>
      <c r="H55" s="3"/>
      <c r="I55" s="3"/>
      <c r="J55" s="3"/>
    </row>
    <row r="56" spans="1:10">
      <c r="A56" s="8"/>
      <c r="B56" s="3">
        <v>1</v>
      </c>
      <c r="C56" s="3" t="s">
        <v>857</v>
      </c>
      <c r="D56" s="3" t="s">
        <v>54</v>
      </c>
      <c r="E56" s="8">
        <v>510114</v>
      </c>
      <c r="F56" s="3" t="s">
        <v>54</v>
      </c>
      <c r="G56" s="8" t="s">
        <v>858</v>
      </c>
      <c r="H56" s="3"/>
      <c r="I56" s="3"/>
      <c r="J56" s="3"/>
    </row>
    <row r="57" spans="1:10">
      <c r="A57" s="8"/>
      <c r="B57" s="3">
        <v>1</v>
      </c>
      <c r="C57" s="3" t="s">
        <v>859</v>
      </c>
      <c r="D57" s="3" t="s">
        <v>54</v>
      </c>
      <c r="E57" s="8">
        <v>583606</v>
      </c>
      <c r="F57" s="3" t="s">
        <v>54</v>
      </c>
      <c r="G57" s="8" t="s">
        <v>860</v>
      </c>
      <c r="H57" s="3"/>
      <c r="I57" s="3"/>
      <c r="J57" s="3"/>
    </row>
    <row r="58" spans="1:10">
      <c r="A58" s="8">
        <v>955700041</v>
      </c>
      <c r="B58" s="3">
        <v>1</v>
      </c>
      <c r="C58" s="3" t="s">
        <v>861</v>
      </c>
      <c r="D58" s="3" t="s">
        <v>54</v>
      </c>
      <c r="E58" s="8">
        <v>587672</v>
      </c>
      <c r="F58" s="3" t="s">
        <v>374</v>
      </c>
      <c r="G58" s="8" t="s">
        <v>862</v>
      </c>
      <c r="H58" s="3"/>
      <c r="I58" s="3"/>
      <c r="J58" s="3"/>
    </row>
    <row r="59" spans="1:10">
      <c r="A59" s="8">
        <v>882720361</v>
      </c>
      <c r="B59" s="3">
        <v>2</v>
      </c>
      <c r="C59" s="3" t="s">
        <v>863</v>
      </c>
      <c r="D59" s="3" t="s">
        <v>54</v>
      </c>
      <c r="E59" s="8">
        <v>449400</v>
      </c>
      <c r="F59" s="3" t="s">
        <v>54</v>
      </c>
      <c r="G59" s="8" t="s">
        <v>805</v>
      </c>
      <c r="H59" s="3"/>
      <c r="I59" s="3"/>
      <c r="J59" s="3"/>
    </row>
    <row r="60" spans="1:10">
      <c r="A60" s="8">
        <v>984550064</v>
      </c>
      <c r="B60" s="3">
        <v>1</v>
      </c>
      <c r="C60" s="3" t="s">
        <v>864</v>
      </c>
      <c r="D60" s="3" t="s">
        <v>54</v>
      </c>
      <c r="E60" s="8">
        <v>356948</v>
      </c>
      <c r="F60" s="3" t="s">
        <v>54</v>
      </c>
      <c r="G60" s="8" t="s">
        <v>865</v>
      </c>
      <c r="H60" s="3"/>
      <c r="I60" s="3"/>
      <c r="J60" s="3"/>
    </row>
    <row r="61" spans="1:10">
      <c r="A61" s="8">
        <v>881720007</v>
      </c>
      <c r="B61" s="3">
        <v>1</v>
      </c>
      <c r="C61" s="3" t="s">
        <v>866</v>
      </c>
      <c r="D61" s="3" t="s">
        <v>54</v>
      </c>
      <c r="E61" s="8">
        <v>536455</v>
      </c>
      <c r="F61" s="3" t="s">
        <v>54</v>
      </c>
      <c r="G61" s="8" t="s">
        <v>867</v>
      </c>
      <c r="H61" s="3"/>
      <c r="I61" s="3"/>
      <c r="J61" s="3"/>
    </row>
    <row r="62" spans="1:10">
      <c r="A62" s="8">
        <v>881720301</v>
      </c>
      <c r="B62" s="3">
        <v>1</v>
      </c>
      <c r="C62" s="3" t="s">
        <v>868</v>
      </c>
      <c r="D62" s="3" t="s">
        <v>54</v>
      </c>
      <c r="E62" s="8">
        <v>288418</v>
      </c>
      <c r="F62" s="3" t="s">
        <v>869</v>
      </c>
      <c r="G62" s="8" t="s">
        <v>870</v>
      </c>
      <c r="H62" s="3"/>
      <c r="I62" s="3"/>
      <c r="J62" s="3"/>
    </row>
    <row r="63" spans="1:10">
      <c r="A63" s="8">
        <v>881700228</v>
      </c>
      <c r="B63" s="3">
        <v>2</v>
      </c>
      <c r="C63" s="3" t="s">
        <v>871</v>
      </c>
      <c r="D63" s="3" t="s">
        <v>54</v>
      </c>
      <c r="E63" s="8">
        <v>512298</v>
      </c>
      <c r="F63" s="3" t="s">
        <v>54</v>
      </c>
      <c r="G63" s="8" t="s">
        <v>872</v>
      </c>
      <c r="H63" s="3"/>
      <c r="I63" s="3"/>
      <c r="J63" s="3"/>
    </row>
    <row r="64" spans="1:10">
      <c r="A64" s="15">
        <v>971720001</v>
      </c>
      <c r="B64" s="3">
        <v>1</v>
      </c>
      <c r="C64" s="3" t="s">
        <v>873</v>
      </c>
      <c r="D64" s="3" t="s">
        <v>54</v>
      </c>
      <c r="E64" s="8">
        <v>24598</v>
      </c>
      <c r="F64" s="7" t="s">
        <v>874</v>
      </c>
      <c r="G64" s="13" t="s">
        <v>875</v>
      </c>
      <c r="H64" s="3"/>
      <c r="I64" s="3"/>
      <c r="J64" s="3"/>
    </row>
    <row r="65" spans="1:10">
      <c r="A65" s="8">
        <v>971720032</v>
      </c>
      <c r="B65" s="3">
        <v>1</v>
      </c>
      <c r="C65" s="3" t="s">
        <v>876</v>
      </c>
      <c r="D65" s="3" t="s">
        <v>54</v>
      </c>
      <c r="E65" s="8">
        <v>97488</v>
      </c>
      <c r="F65" s="3" t="s">
        <v>54</v>
      </c>
      <c r="G65" s="8" t="s">
        <v>877</v>
      </c>
      <c r="H65" s="3"/>
      <c r="I65" s="3"/>
      <c r="J65" s="3"/>
    </row>
    <row r="66" spans="1:10">
      <c r="A66" s="8">
        <v>999700021</v>
      </c>
      <c r="B66" s="3">
        <v>1</v>
      </c>
      <c r="C66" s="3" t="s">
        <v>878</v>
      </c>
      <c r="D66" s="3" t="s">
        <v>54</v>
      </c>
      <c r="E66" s="8">
        <v>276010</v>
      </c>
      <c r="F66" s="3" t="s">
        <v>54</v>
      </c>
      <c r="G66" s="8" t="s">
        <v>879</v>
      </c>
      <c r="H66" s="3"/>
      <c r="I66" s="3"/>
      <c r="J66" s="3"/>
    </row>
    <row r="67" spans="1:10">
      <c r="A67" s="8">
        <v>973550035</v>
      </c>
      <c r="B67" s="3">
        <v>1</v>
      </c>
      <c r="C67" s="3" t="s">
        <v>880</v>
      </c>
      <c r="D67" s="3" t="s">
        <v>54</v>
      </c>
      <c r="E67" s="8">
        <v>347213</v>
      </c>
      <c r="F67" s="3" t="s">
        <v>214</v>
      </c>
      <c r="G67" s="8" t="s">
        <v>881</v>
      </c>
      <c r="H67" s="3"/>
      <c r="I67" s="3"/>
      <c r="J67" s="3"/>
    </row>
    <row r="68" spans="1:10">
      <c r="A68" s="8">
        <v>973700021</v>
      </c>
      <c r="B68" s="3">
        <v>1</v>
      </c>
      <c r="C68" s="3" t="s">
        <v>882</v>
      </c>
      <c r="D68" s="3" t="s">
        <v>54</v>
      </c>
      <c r="E68" s="8">
        <v>524113</v>
      </c>
      <c r="F68" s="3" t="s">
        <v>54</v>
      </c>
      <c r="G68" s="8" t="s">
        <v>883</v>
      </c>
      <c r="H68" s="3"/>
      <c r="I68" s="3"/>
      <c r="J68" s="3"/>
    </row>
    <row r="69" spans="1:10">
      <c r="A69" s="8">
        <v>973700061</v>
      </c>
      <c r="B69" s="3">
        <v>1</v>
      </c>
      <c r="C69" s="3" t="s">
        <v>884</v>
      </c>
      <c r="D69" s="3" t="s">
        <v>54</v>
      </c>
      <c r="E69" s="8">
        <v>655537</v>
      </c>
      <c r="F69" s="3" t="s">
        <v>54</v>
      </c>
      <c r="G69" s="8">
        <v>655537</v>
      </c>
      <c r="H69" s="3"/>
      <c r="I69" s="3"/>
      <c r="J69" s="3"/>
    </row>
    <row r="70" spans="1:10">
      <c r="A70" s="8">
        <v>973700062</v>
      </c>
      <c r="B70" s="3">
        <v>1</v>
      </c>
      <c r="C70" s="3" t="s">
        <v>885</v>
      </c>
      <c r="D70" s="3" t="s">
        <v>54</v>
      </c>
      <c r="E70" s="8">
        <v>655536</v>
      </c>
      <c r="F70" s="3" t="s">
        <v>54</v>
      </c>
      <c r="G70" s="15">
        <v>655536</v>
      </c>
      <c r="H70" s="3"/>
      <c r="I70" s="3"/>
      <c r="J70" s="3"/>
    </row>
    <row r="71" spans="1:10">
      <c r="A71" s="8">
        <v>973550036</v>
      </c>
      <c r="B71" s="3">
        <v>1</v>
      </c>
      <c r="C71" s="3" t="s">
        <v>886</v>
      </c>
      <c r="D71" s="3" t="s">
        <v>54</v>
      </c>
      <c r="E71" s="8">
        <v>354758</v>
      </c>
      <c r="F71" s="3" t="s">
        <v>54</v>
      </c>
      <c r="G71" s="8" t="s">
        <v>887</v>
      </c>
      <c r="H71" s="3"/>
      <c r="I71" s="3"/>
      <c r="J71" s="3"/>
    </row>
    <row r="72" spans="1:10">
      <c r="A72" s="8">
        <v>973550017</v>
      </c>
      <c r="B72" s="3">
        <v>1</v>
      </c>
      <c r="C72" s="3" t="s">
        <v>888</v>
      </c>
      <c r="D72" s="3" t="s">
        <v>54</v>
      </c>
      <c r="E72" s="8">
        <v>33945</v>
      </c>
      <c r="F72" s="3" t="s">
        <v>54</v>
      </c>
      <c r="G72" s="8" t="s">
        <v>889</v>
      </c>
      <c r="H72" s="3"/>
      <c r="I72" s="3"/>
      <c r="J72" s="3"/>
    </row>
    <row r="73" spans="1:10">
      <c r="A73" s="8"/>
      <c r="B73" s="3">
        <v>1</v>
      </c>
      <c r="C73" s="3" t="s">
        <v>890</v>
      </c>
      <c r="D73" s="3" t="s">
        <v>54</v>
      </c>
      <c r="E73" s="15">
        <v>510218</v>
      </c>
      <c r="F73" s="12" t="s">
        <v>54</v>
      </c>
      <c r="G73" s="15">
        <v>510218</v>
      </c>
      <c r="H73" s="3"/>
      <c r="I73" s="3"/>
      <c r="J73" s="3"/>
    </row>
    <row r="74" spans="1:10">
      <c r="A74" s="8"/>
      <c r="B74" s="3">
        <v>1</v>
      </c>
      <c r="C74" s="3" t="s">
        <v>891</v>
      </c>
      <c r="D74" s="3" t="s">
        <v>54</v>
      </c>
      <c r="E74" s="8">
        <v>507393</v>
      </c>
      <c r="F74" s="3" t="s">
        <v>54</v>
      </c>
      <c r="G74" s="8" t="s">
        <v>892</v>
      </c>
      <c r="H74" s="3"/>
      <c r="I74" s="3"/>
      <c r="J74" s="3"/>
    </row>
    <row r="75" spans="1:10">
      <c r="A75" s="8">
        <v>997550005</v>
      </c>
      <c r="B75" s="3">
        <v>11</v>
      </c>
      <c r="C75" s="3" t="s">
        <v>893</v>
      </c>
      <c r="D75" s="3" t="s">
        <v>54</v>
      </c>
      <c r="E75" s="8" t="s">
        <v>894</v>
      </c>
      <c r="F75" s="3" t="s">
        <v>59</v>
      </c>
      <c r="G75" s="8" t="s">
        <v>894</v>
      </c>
      <c r="H75" s="3"/>
      <c r="I75" s="3"/>
      <c r="J75" s="3"/>
    </row>
    <row r="76" spans="1:10">
      <c r="A76" s="8">
        <v>973550046</v>
      </c>
      <c r="B76" s="3">
        <v>1</v>
      </c>
      <c r="C76" s="3" t="s">
        <v>895</v>
      </c>
      <c r="D76" s="3" t="s">
        <v>54</v>
      </c>
      <c r="E76" s="8">
        <v>354445</v>
      </c>
      <c r="F76" s="3" t="s">
        <v>54</v>
      </c>
      <c r="G76" s="8" t="s">
        <v>896</v>
      </c>
      <c r="H76" s="3"/>
      <c r="I76" s="3"/>
      <c r="J76" s="3"/>
    </row>
    <row r="77" spans="1:10">
      <c r="A77" s="8">
        <v>973720202</v>
      </c>
      <c r="B77" s="3">
        <v>1</v>
      </c>
      <c r="C77" s="3" t="s">
        <v>897</v>
      </c>
      <c r="D77" s="3" t="s">
        <v>54</v>
      </c>
      <c r="E77" s="8">
        <v>354449</v>
      </c>
      <c r="F77" s="3" t="s">
        <v>54</v>
      </c>
      <c r="G77" s="8" t="s">
        <v>898</v>
      </c>
      <c r="H77" s="3"/>
      <c r="I77" s="3"/>
      <c r="J77" s="3"/>
    </row>
    <row r="78" spans="1:10">
      <c r="A78" s="8">
        <v>972550165</v>
      </c>
      <c r="B78" s="3">
        <v>2</v>
      </c>
      <c r="C78" s="3" t="s">
        <v>899</v>
      </c>
      <c r="D78" s="3" t="s">
        <v>54</v>
      </c>
      <c r="E78" s="8">
        <v>354766</v>
      </c>
      <c r="F78" s="3" t="s">
        <v>54</v>
      </c>
      <c r="G78" s="8" t="s">
        <v>900</v>
      </c>
      <c r="H78" s="3"/>
      <c r="I78" s="3"/>
      <c r="J78" s="3"/>
    </row>
    <row r="79" spans="1:10">
      <c r="A79" s="8">
        <v>973720261</v>
      </c>
      <c r="B79" s="3">
        <v>2</v>
      </c>
      <c r="C79" s="3" t="s">
        <v>901</v>
      </c>
      <c r="D79" s="3" t="s">
        <v>54</v>
      </c>
      <c r="E79" s="8">
        <v>473108</v>
      </c>
      <c r="F79" s="3" t="s">
        <v>54</v>
      </c>
      <c r="G79" s="8" t="s">
        <v>902</v>
      </c>
      <c r="H79" s="3"/>
      <c r="I79" s="3"/>
      <c r="J79" s="3"/>
    </row>
    <row r="80" spans="1:10">
      <c r="A80" s="8">
        <v>973550042</v>
      </c>
      <c r="B80" s="3">
        <v>2</v>
      </c>
      <c r="C80" s="3" t="s">
        <v>903</v>
      </c>
      <c r="D80" s="3" t="s">
        <v>54</v>
      </c>
      <c r="E80" s="8">
        <v>417370</v>
      </c>
      <c r="F80" s="3" t="s">
        <v>54</v>
      </c>
      <c r="G80" s="8">
        <v>417370</v>
      </c>
      <c r="H80" s="3"/>
      <c r="I80" s="3"/>
      <c r="J80" s="3"/>
    </row>
    <row r="81" spans="1:10">
      <c r="A81" s="8">
        <v>973550048</v>
      </c>
      <c r="B81" s="3">
        <v>2</v>
      </c>
      <c r="C81" s="3" t="s">
        <v>904</v>
      </c>
      <c r="D81" s="3" t="s">
        <v>54</v>
      </c>
      <c r="E81" s="8">
        <v>417372</v>
      </c>
      <c r="F81" s="3" t="s">
        <v>54</v>
      </c>
      <c r="G81" s="8">
        <v>417372</v>
      </c>
      <c r="H81" s="3"/>
      <c r="I81" s="3"/>
      <c r="J81" s="3"/>
    </row>
    <row r="82" spans="1:10" ht="31.5" customHeight="1">
      <c r="A82" s="83" t="s">
        <v>96</v>
      </c>
      <c r="B82" s="83"/>
      <c r="C82" s="83"/>
      <c r="D82" s="83"/>
      <c r="E82" s="83"/>
      <c r="F82" s="83"/>
      <c r="G82" s="83"/>
      <c r="H82" s="83"/>
      <c r="I82" s="83"/>
      <c r="J82" s="83"/>
    </row>
    <row r="83" spans="1:10">
      <c r="A83" s="18"/>
      <c r="B83" s="18"/>
      <c r="C83" s="18"/>
      <c r="D83" s="18"/>
      <c r="E83" s="18"/>
      <c r="F83" s="18"/>
      <c r="G83" s="18"/>
      <c r="H83" s="18"/>
      <c r="I83" s="18"/>
    </row>
  </sheetData>
  <mergeCells count="10">
    <mergeCell ref="A82:J82"/>
    <mergeCell ref="A1:G1"/>
    <mergeCell ref="H1:J1"/>
    <mergeCell ref="A2:A3"/>
    <mergeCell ref="B2:B3"/>
    <mergeCell ref="C2:C3"/>
    <mergeCell ref="D2:E2"/>
    <mergeCell ref="F2:G2"/>
    <mergeCell ref="H2:H3"/>
    <mergeCell ref="I2:J2"/>
  </mergeCells>
  <pageMargins left="0.7" right="0.7" top="0.59312500000000001" bottom="0.75" header="0.3" footer="0.3"/>
  <pageSetup scale="65" fitToHeight="0" orientation="landscape" r:id="rId1"/>
  <headerFooter>
    <oddHeader>&amp;C&amp;"-,Bold"MIDLIFE OVERHAUL 2015-16 NEW FLYER XN40 (SR1947: 2830-2993)</oddHeader>
    <oddFooter>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39228-2770-457F-B689-192434F20A88}">
  <sheetPr>
    <pageSetUpPr fitToPage="1"/>
  </sheetPr>
  <dimension ref="A1:J84"/>
  <sheetViews>
    <sheetView view="pageLayout" zoomScaleNormal="100" workbookViewId="0">
      <selection activeCell="F20" sqref="F20"/>
    </sheetView>
  </sheetViews>
  <sheetFormatPr defaultRowHeight="14.45"/>
  <cols>
    <col min="1" max="1" width="13.28515625" customWidth="1"/>
    <col min="2" max="2" width="4.28515625" bestFit="1" customWidth="1"/>
    <col min="3" max="3" width="63.140625" bestFit="1" customWidth="1"/>
    <col min="4" max="4" width="22.7109375" customWidth="1"/>
    <col min="5" max="5" width="10" customWidth="1"/>
    <col min="6" max="6" width="29.42578125" customWidth="1"/>
    <col min="7" max="7" width="25" bestFit="1" customWidth="1"/>
    <col min="8" max="8" width="12.5703125" customWidth="1"/>
    <col min="9" max="9" width="10.5703125" customWidth="1"/>
    <col min="10" max="10" width="12.42578125" customWidth="1"/>
  </cols>
  <sheetData>
    <row r="1" spans="1:10" ht="15" customHeight="1">
      <c r="A1" s="91" t="s">
        <v>905</v>
      </c>
      <c r="B1" s="92"/>
      <c r="C1" s="92"/>
      <c r="D1" s="92"/>
      <c r="E1" s="92"/>
      <c r="F1" s="92"/>
      <c r="G1" s="92"/>
      <c r="H1" s="72" t="s">
        <v>41</v>
      </c>
      <c r="I1" s="72"/>
      <c r="J1" s="72"/>
    </row>
    <row r="2" spans="1:10" ht="15" customHeight="1">
      <c r="A2" s="72" t="s">
        <v>42</v>
      </c>
      <c r="B2" s="72" t="s">
        <v>43</v>
      </c>
      <c r="C2" s="72" t="s">
        <v>44</v>
      </c>
      <c r="D2" s="72" t="s">
        <v>45</v>
      </c>
      <c r="E2" s="72"/>
      <c r="F2" s="73" t="s">
        <v>46</v>
      </c>
      <c r="G2" s="74"/>
      <c r="H2" s="72" t="s">
        <v>47</v>
      </c>
      <c r="I2" s="75" t="s">
        <v>48</v>
      </c>
      <c r="J2" s="75"/>
    </row>
    <row r="3" spans="1:10">
      <c r="A3" s="72"/>
      <c r="B3" s="72"/>
      <c r="C3" s="72"/>
      <c r="D3" s="1" t="s">
        <v>49</v>
      </c>
      <c r="E3" s="1" t="s">
        <v>50</v>
      </c>
      <c r="F3" s="1" t="s">
        <v>49</v>
      </c>
      <c r="G3" s="1" t="s">
        <v>50</v>
      </c>
      <c r="H3" s="72"/>
      <c r="I3" s="2" t="s">
        <v>51</v>
      </c>
      <c r="J3" s="2" t="s">
        <v>52</v>
      </c>
    </row>
    <row r="4" spans="1:10">
      <c r="A4" s="8">
        <v>986700141</v>
      </c>
      <c r="B4" s="3">
        <v>1</v>
      </c>
      <c r="C4" s="3" t="s">
        <v>906</v>
      </c>
      <c r="D4" s="3" t="s">
        <v>520</v>
      </c>
      <c r="E4" s="8">
        <v>483167</v>
      </c>
      <c r="F4" s="3" t="s">
        <v>651</v>
      </c>
      <c r="G4" s="8" t="s">
        <v>907</v>
      </c>
      <c r="H4" s="3"/>
      <c r="I4" s="3"/>
      <c r="J4" s="3"/>
    </row>
    <row r="5" spans="1:10">
      <c r="A5" s="8">
        <v>930720001</v>
      </c>
      <c r="B5" s="3">
        <v>2</v>
      </c>
      <c r="C5" s="3" t="s">
        <v>908</v>
      </c>
      <c r="D5" s="3" t="s">
        <v>520</v>
      </c>
      <c r="E5" s="8">
        <v>5952460</v>
      </c>
      <c r="F5" s="3" t="s">
        <v>270</v>
      </c>
      <c r="G5" s="8" t="s">
        <v>909</v>
      </c>
      <c r="H5" s="3"/>
      <c r="I5" s="3"/>
      <c r="J5" s="3"/>
    </row>
    <row r="6" spans="1:10">
      <c r="A6" s="8">
        <v>986700202</v>
      </c>
      <c r="B6" s="3">
        <v>2</v>
      </c>
      <c r="C6" s="3" t="s">
        <v>910</v>
      </c>
      <c r="D6" s="3" t="s">
        <v>520</v>
      </c>
      <c r="E6" s="8">
        <v>430027</v>
      </c>
      <c r="F6" s="3" t="s">
        <v>911</v>
      </c>
      <c r="G6" s="8">
        <v>4721950960</v>
      </c>
      <c r="H6" s="3"/>
      <c r="I6" s="3"/>
      <c r="J6" s="3"/>
    </row>
    <row r="7" spans="1:10">
      <c r="A7" s="8">
        <v>832550021</v>
      </c>
      <c r="B7" s="3">
        <v>1</v>
      </c>
      <c r="C7" s="3" t="s">
        <v>912</v>
      </c>
      <c r="D7" s="3" t="s">
        <v>520</v>
      </c>
      <c r="E7" s="8">
        <v>387488</v>
      </c>
      <c r="F7" s="3" t="s">
        <v>913</v>
      </c>
      <c r="G7" s="8" t="s">
        <v>914</v>
      </c>
      <c r="H7" s="3"/>
      <c r="I7" s="3"/>
      <c r="J7" s="3"/>
    </row>
    <row r="8" spans="1:10">
      <c r="A8" s="8">
        <v>921700016</v>
      </c>
      <c r="B8" s="3">
        <v>1</v>
      </c>
      <c r="C8" s="3" t="s">
        <v>915</v>
      </c>
      <c r="D8" s="3" t="s">
        <v>520</v>
      </c>
      <c r="E8" s="8">
        <v>10263</v>
      </c>
      <c r="F8" s="3" t="s">
        <v>651</v>
      </c>
      <c r="G8" s="8" t="s">
        <v>916</v>
      </c>
      <c r="H8" s="3"/>
      <c r="I8" s="3"/>
      <c r="J8" s="3"/>
    </row>
    <row r="9" spans="1:10">
      <c r="A9" s="8">
        <v>986550048</v>
      </c>
      <c r="B9" s="3">
        <v>1</v>
      </c>
      <c r="C9" s="3" t="s">
        <v>917</v>
      </c>
      <c r="D9" s="3" t="s">
        <v>520</v>
      </c>
      <c r="E9" s="8">
        <v>5959937</v>
      </c>
      <c r="F9" s="3" t="s">
        <v>103</v>
      </c>
      <c r="G9" s="8" t="s">
        <v>918</v>
      </c>
      <c r="H9" s="3"/>
      <c r="I9" s="3"/>
      <c r="J9" s="3"/>
    </row>
    <row r="10" spans="1:10">
      <c r="A10" s="8">
        <v>986550070</v>
      </c>
      <c r="B10" s="3">
        <v>1</v>
      </c>
      <c r="C10" s="3" t="s">
        <v>919</v>
      </c>
      <c r="D10" s="3" t="s">
        <v>520</v>
      </c>
      <c r="E10" s="8">
        <v>438914</v>
      </c>
      <c r="F10" s="3" t="s">
        <v>651</v>
      </c>
      <c r="G10" s="8" t="s">
        <v>920</v>
      </c>
      <c r="H10" s="3"/>
      <c r="I10" s="3"/>
      <c r="J10" s="3"/>
    </row>
    <row r="11" spans="1:10">
      <c r="A11" s="8">
        <v>986550052</v>
      </c>
      <c r="B11" s="3">
        <v>2</v>
      </c>
      <c r="C11" s="3" t="s">
        <v>921</v>
      </c>
      <c r="D11" s="3" t="s">
        <v>520</v>
      </c>
      <c r="E11" s="8">
        <v>5923496</v>
      </c>
      <c r="F11" s="3" t="s">
        <v>651</v>
      </c>
      <c r="G11" s="8">
        <v>5003980</v>
      </c>
      <c r="H11" s="3"/>
      <c r="I11" s="3"/>
      <c r="J11" s="3"/>
    </row>
    <row r="12" spans="1:10">
      <c r="A12" s="8">
        <v>986550058</v>
      </c>
      <c r="B12" s="3">
        <v>2</v>
      </c>
      <c r="C12" s="3" t="s">
        <v>776</v>
      </c>
      <c r="D12" s="3" t="s">
        <v>520</v>
      </c>
      <c r="E12" s="8">
        <v>336035</v>
      </c>
      <c r="F12" s="3" t="s">
        <v>777</v>
      </c>
      <c r="G12" s="8" t="s">
        <v>778</v>
      </c>
      <c r="H12" s="3"/>
      <c r="I12" s="3"/>
      <c r="J12" s="3"/>
    </row>
    <row r="13" spans="1:10">
      <c r="A13" s="8">
        <v>986720082</v>
      </c>
      <c r="B13" s="3">
        <v>1</v>
      </c>
      <c r="C13" s="3" t="s">
        <v>922</v>
      </c>
      <c r="D13" s="3" t="s">
        <v>520</v>
      </c>
      <c r="E13" s="8">
        <v>377091</v>
      </c>
      <c r="F13" s="3" t="s">
        <v>267</v>
      </c>
      <c r="G13" s="8" t="s">
        <v>923</v>
      </c>
      <c r="H13" s="3"/>
      <c r="I13" s="3"/>
      <c r="J13" s="3"/>
    </row>
    <row r="14" spans="1:10">
      <c r="A14" s="8">
        <v>932700033</v>
      </c>
      <c r="B14" s="3">
        <v>1</v>
      </c>
      <c r="C14" s="3" t="s">
        <v>924</v>
      </c>
      <c r="D14" s="3" t="s">
        <v>520</v>
      </c>
      <c r="E14" s="8">
        <v>5958000</v>
      </c>
      <c r="F14" s="3" t="s">
        <v>267</v>
      </c>
      <c r="G14" s="8" t="s">
        <v>925</v>
      </c>
      <c r="H14" s="3"/>
      <c r="I14" s="3"/>
      <c r="J14" s="3"/>
    </row>
    <row r="15" spans="1:10">
      <c r="A15" s="8">
        <v>986550027</v>
      </c>
      <c r="B15" s="3">
        <v>4</v>
      </c>
      <c r="C15" s="3" t="s">
        <v>926</v>
      </c>
      <c r="D15" s="3" t="s">
        <v>520</v>
      </c>
      <c r="E15" s="8">
        <v>5963964</v>
      </c>
      <c r="F15" s="3" t="s">
        <v>651</v>
      </c>
      <c r="G15" s="8">
        <v>229859</v>
      </c>
      <c r="H15" s="3"/>
      <c r="I15" s="3"/>
      <c r="J15" s="3"/>
    </row>
    <row r="16" spans="1:10">
      <c r="A16" s="8">
        <v>986700061</v>
      </c>
      <c r="B16" s="3">
        <v>2</v>
      </c>
      <c r="C16" s="3" t="s">
        <v>927</v>
      </c>
      <c r="D16" s="3" t="s">
        <v>520</v>
      </c>
      <c r="E16" s="8">
        <v>494863</v>
      </c>
      <c r="F16" s="3" t="s">
        <v>651</v>
      </c>
      <c r="G16" s="8" t="s">
        <v>928</v>
      </c>
      <c r="H16" s="3"/>
      <c r="I16" s="3"/>
      <c r="J16" s="3"/>
    </row>
    <row r="17" spans="1:10">
      <c r="A17" s="8">
        <v>986700042</v>
      </c>
      <c r="B17" s="3">
        <v>1</v>
      </c>
      <c r="C17" s="3" t="s">
        <v>929</v>
      </c>
      <c r="D17" s="3" t="s">
        <v>520</v>
      </c>
      <c r="E17" s="8">
        <v>480283</v>
      </c>
      <c r="F17" s="3" t="s">
        <v>651</v>
      </c>
      <c r="G17" s="8" t="s">
        <v>930</v>
      </c>
      <c r="H17" s="3"/>
      <c r="I17" s="3"/>
      <c r="J17" s="3"/>
    </row>
    <row r="18" spans="1:10">
      <c r="A18" s="8">
        <v>955560008</v>
      </c>
      <c r="B18" s="3">
        <v>3</v>
      </c>
      <c r="C18" s="3" t="s">
        <v>921</v>
      </c>
      <c r="D18" s="3" t="s">
        <v>520</v>
      </c>
      <c r="E18" s="8">
        <v>5957963</v>
      </c>
      <c r="F18" s="3" t="s">
        <v>651</v>
      </c>
      <c r="G18" s="8">
        <v>800375</v>
      </c>
      <c r="H18" s="3"/>
      <c r="I18" s="3"/>
      <c r="J18" s="3"/>
    </row>
    <row r="19" spans="1:10">
      <c r="A19" s="8">
        <v>999651710</v>
      </c>
      <c r="B19" s="3">
        <v>2</v>
      </c>
      <c r="C19" s="3" t="s">
        <v>931</v>
      </c>
      <c r="D19" s="3" t="s">
        <v>520</v>
      </c>
      <c r="E19" s="8">
        <v>5956454</v>
      </c>
      <c r="F19" s="3" t="s">
        <v>270</v>
      </c>
      <c r="G19" s="8" t="s">
        <v>932</v>
      </c>
      <c r="H19" s="3"/>
      <c r="I19" s="3"/>
      <c r="J19" s="3"/>
    </row>
    <row r="20" spans="1:10">
      <c r="A20" s="8">
        <v>955700022</v>
      </c>
      <c r="B20" s="3">
        <v>1</v>
      </c>
      <c r="C20" s="3" t="s">
        <v>933</v>
      </c>
      <c r="D20" s="3" t="s">
        <v>520</v>
      </c>
      <c r="E20" s="8">
        <v>5963964</v>
      </c>
      <c r="F20" s="3" t="s">
        <v>651</v>
      </c>
      <c r="G20" s="8">
        <v>229859</v>
      </c>
      <c r="H20" s="3"/>
      <c r="I20" s="3"/>
      <c r="J20" s="3"/>
    </row>
    <row r="21" spans="1:10">
      <c r="A21" s="8">
        <v>934720003</v>
      </c>
      <c r="B21" s="3">
        <v>1</v>
      </c>
      <c r="C21" s="3" t="s">
        <v>934</v>
      </c>
      <c r="D21" s="3" t="s">
        <v>520</v>
      </c>
      <c r="E21" s="8">
        <v>507730</v>
      </c>
      <c r="F21" s="3" t="s">
        <v>579</v>
      </c>
      <c r="G21" s="8" t="s">
        <v>935</v>
      </c>
      <c r="H21" s="3"/>
      <c r="I21" s="3"/>
      <c r="J21" s="3"/>
    </row>
    <row r="22" spans="1:10">
      <c r="A22" s="8">
        <v>882720023</v>
      </c>
      <c r="B22" s="3">
        <v>1</v>
      </c>
      <c r="C22" s="3" t="s">
        <v>936</v>
      </c>
      <c r="D22" s="3" t="s">
        <v>520</v>
      </c>
      <c r="E22" s="8">
        <v>217023</v>
      </c>
      <c r="F22" s="3" t="s">
        <v>142</v>
      </c>
      <c r="G22" s="8" t="s">
        <v>937</v>
      </c>
      <c r="H22" s="3"/>
      <c r="I22" s="3"/>
      <c r="J22" s="3"/>
    </row>
    <row r="23" spans="1:10">
      <c r="A23" s="8">
        <v>882700044</v>
      </c>
      <c r="B23" s="3">
        <v>1</v>
      </c>
      <c r="C23" s="3" t="s">
        <v>938</v>
      </c>
      <c r="D23" s="3" t="s">
        <v>520</v>
      </c>
      <c r="E23" s="8">
        <v>571619</v>
      </c>
      <c r="F23" s="3" t="s">
        <v>763</v>
      </c>
      <c r="G23" s="8" t="s">
        <v>939</v>
      </c>
      <c r="H23" s="3"/>
      <c r="I23" s="3"/>
      <c r="J23" s="3"/>
    </row>
    <row r="24" spans="1:10">
      <c r="A24" s="8">
        <v>971700018</v>
      </c>
      <c r="B24" s="3">
        <v>1</v>
      </c>
      <c r="C24" s="3" t="s">
        <v>940</v>
      </c>
      <c r="D24" s="3" t="s">
        <v>520</v>
      </c>
      <c r="E24" s="8">
        <v>15697</v>
      </c>
      <c r="F24" s="3" t="s">
        <v>800</v>
      </c>
      <c r="G24" s="8" t="s">
        <v>941</v>
      </c>
      <c r="H24" s="3"/>
      <c r="I24" s="3"/>
      <c r="J24" s="3"/>
    </row>
    <row r="25" spans="1:10">
      <c r="A25" s="8">
        <v>882550143</v>
      </c>
      <c r="B25" s="3">
        <v>1</v>
      </c>
      <c r="C25" s="3" t="s">
        <v>942</v>
      </c>
      <c r="D25" s="3" t="s">
        <v>520</v>
      </c>
      <c r="E25" s="8">
        <v>485937</v>
      </c>
      <c r="F25" s="3" t="s">
        <v>800</v>
      </c>
      <c r="G25" s="8" t="s">
        <v>943</v>
      </c>
      <c r="H25" s="3"/>
      <c r="I25" s="3"/>
      <c r="J25" s="3"/>
    </row>
    <row r="26" spans="1:10">
      <c r="A26" s="8">
        <v>882700102</v>
      </c>
      <c r="B26" s="3">
        <v>2</v>
      </c>
      <c r="C26" s="3" t="s">
        <v>944</v>
      </c>
      <c r="D26" s="3" t="s">
        <v>520</v>
      </c>
      <c r="E26" s="8">
        <v>485931</v>
      </c>
      <c r="F26" s="3" t="s">
        <v>800</v>
      </c>
      <c r="G26" s="8" t="s">
        <v>945</v>
      </c>
      <c r="H26" s="3"/>
      <c r="I26" s="3"/>
      <c r="J26" s="3"/>
    </row>
    <row r="27" spans="1:10">
      <c r="A27" s="8">
        <v>882700049</v>
      </c>
      <c r="B27" s="3">
        <v>3</v>
      </c>
      <c r="C27" s="3" t="s">
        <v>946</v>
      </c>
      <c r="D27" s="3" t="s">
        <v>520</v>
      </c>
      <c r="E27" s="8">
        <v>8111605</v>
      </c>
      <c r="F27" s="3" t="s">
        <v>763</v>
      </c>
      <c r="G27" s="8" t="s">
        <v>947</v>
      </c>
      <c r="H27" s="3"/>
      <c r="I27" s="3"/>
      <c r="J27" s="3"/>
    </row>
    <row r="28" spans="1:10">
      <c r="A28" s="8">
        <v>971700018</v>
      </c>
      <c r="B28" s="3">
        <v>1</v>
      </c>
      <c r="C28" s="3" t="s">
        <v>948</v>
      </c>
      <c r="D28" s="3" t="s">
        <v>520</v>
      </c>
      <c r="E28" s="8">
        <v>15697</v>
      </c>
      <c r="F28" s="3" t="s">
        <v>800</v>
      </c>
      <c r="G28" s="8" t="s">
        <v>941</v>
      </c>
      <c r="H28" s="3"/>
      <c r="I28" s="3"/>
      <c r="J28" s="3"/>
    </row>
    <row r="29" spans="1:10">
      <c r="A29" s="8">
        <v>882720241</v>
      </c>
      <c r="B29" s="3">
        <v>3</v>
      </c>
      <c r="C29" s="3" t="s">
        <v>949</v>
      </c>
      <c r="D29" s="3" t="s">
        <v>520</v>
      </c>
      <c r="E29" s="8">
        <v>351515</v>
      </c>
      <c r="F29" s="3" t="s">
        <v>800</v>
      </c>
      <c r="G29" s="8" t="s">
        <v>950</v>
      </c>
      <c r="H29" s="3"/>
      <c r="I29" s="3"/>
      <c r="J29" s="3"/>
    </row>
    <row r="30" spans="1:10">
      <c r="A30" s="8">
        <v>882700121</v>
      </c>
      <c r="B30" s="3">
        <v>1</v>
      </c>
      <c r="C30" s="3" t="s">
        <v>951</v>
      </c>
      <c r="D30" s="3" t="s">
        <v>520</v>
      </c>
      <c r="E30" s="8">
        <v>26077</v>
      </c>
      <c r="F30" s="3" t="s">
        <v>952</v>
      </c>
      <c r="G30" s="8" t="s">
        <v>953</v>
      </c>
      <c r="H30" s="3"/>
      <c r="I30" s="3"/>
      <c r="J30" s="3"/>
    </row>
    <row r="31" spans="1:10">
      <c r="A31" s="8">
        <v>986550033</v>
      </c>
      <c r="B31" s="3">
        <v>1</v>
      </c>
      <c r="C31" s="3" t="s">
        <v>954</v>
      </c>
      <c r="D31" s="3" t="s">
        <v>520</v>
      </c>
      <c r="E31" s="8">
        <v>5996782</v>
      </c>
      <c r="F31" s="3" t="s">
        <v>651</v>
      </c>
      <c r="G31" s="8" t="s">
        <v>955</v>
      </c>
      <c r="H31" s="3"/>
      <c r="I31" s="3"/>
      <c r="J31" s="3"/>
    </row>
    <row r="32" spans="1:10">
      <c r="A32" s="8">
        <v>972700043</v>
      </c>
      <c r="B32" s="3">
        <v>1</v>
      </c>
      <c r="C32" s="3" t="s">
        <v>956</v>
      </c>
      <c r="D32" s="3" t="s">
        <v>520</v>
      </c>
      <c r="E32" s="8">
        <v>110103</v>
      </c>
      <c r="F32" s="3" t="s">
        <v>103</v>
      </c>
      <c r="G32" s="8" t="s">
        <v>957</v>
      </c>
      <c r="H32" s="3"/>
      <c r="I32" s="3"/>
      <c r="J32" s="3"/>
    </row>
    <row r="33" spans="1:10">
      <c r="A33" s="8">
        <v>871550102</v>
      </c>
      <c r="B33" s="3">
        <v>1</v>
      </c>
      <c r="C33" s="3" t="s">
        <v>958</v>
      </c>
      <c r="D33" s="3" t="s">
        <v>520</v>
      </c>
      <c r="E33" s="8" t="s">
        <v>959</v>
      </c>
      <c r="F33" s="3" t="s">
        <v>960</v>
      </c>
      <c r="G33" s="8" t="s">
        <v>961</v>
      </c>
      <c r="H33" s="3"/>
      <c r="I33" s="3"/>
      <c r="J33" s="3"/>
    </row>
    <row r="34" spans="1:10">
      <c r="A34" s="8">
        <v>822700023</v>
      </c>
      <c r="B34" s="3">
        <v>6</v>
      </c>
      <c r="C34" s="3" t="s">
        <v>962</v>
      </c>
      <c r="D34" s="3" t="s">
        <v>520</v>
      </c>
      <c r="E34" s="8">
        <v>8110071</v>
      </c>
      <c r="F34" s="3" t="s">
        <v>359</v>
      </c>
      <c r="G34" s="8" t="s">
        <v>372</v>
      </c>
      <c r="H34" s="3"/>
      <c r="I34" s="3"/>
      <c r="J34" s="3"/>
    </row>
    <row r="35" spans="1:10">
      <c r="A35" s="8">
        <v>881550164</v>
      </c>
      <c r="B35" s="3">
        <v>3</v>
      </c>
      <c r="C35" s="3" t="s">
        <v>963</v>
      </c>
      <c r="D35" s="3" t="s">
        <v>520</v>
      </c>
      <c r="E35" s="8">
        <v>331081</v>
      </c>
      <c r="F35" s="3" t="s">
        <v>763</v>
      </c>
      <c r="G35" s="8" t="s">
        <v>964</v>
      </c>
      <c r="H35" s="3"/>
      <c r="I35" s="3"/>
      <c r="J35" s="3"/>
    </row>
    <row r="36" spans="1:10">
      <c r="A36" s="8">
        <v>972351070</v>
      </c>
      <c r="B36" s="3">
        <v>2</v>
      </c>
      <c r="C36" s="3" t="s">
        <v>946</v>
      </c>
      <c r="D36" s="3" t="s">
        <v>520</v>
      </c>
      <c r="E36" s="8">
        <v>5955556</v>
      </c>
      <c r="F36" s="3" t="s">
        <v>763</v>
      </c>
      <c r="G36" s="8" t="s">
        <v>965</v>
      </c>
      <c r="H36" s="3"/>
      <c r="I36" s="3"/>
      <c r="J36" s="3"/>
    </row>
    <row r="37" spans="1:10">
      <c r="A37" s="8">
        <v>882550074</v>
      </c>
      <c r="B37" s="3">
        <v>3</v>
      </c>
      <c r="C37" s="3" t="s">
        <v>966</v>
      </c>
      <c r="D37" s="3" t="s">
        <v>520</v>
      </c>
      <c r="E37" s="8">
        <v>117047</v>
      </c>
      <c r="F37" s="3" t="s">
        <v>763</v>
      </c>
      <c r="G37" s="8" t="s">
        <v>967</v>
      </c>
      <c r="H37" s="3"/>
      <c r="I37" s="3"/>
      <c r="J37" s="3"/>
    </row>
    <row r="38" spans="1:10">
      <c r="A38" s="8">
        <v>882550222</v>
      </c>
      <c r="B38" s="3">
        <v>1</v>
      </c>
      <c r="C38" s="3" t="s">
        <v>968</v>
      </c>
      <c r="D38" s="3" t="s">
        <v>520</v>
      </c>
      <c r="E38" s="8">
        <v>117048</v>
      </c>
      <c r="F38" s="3" t="s">
        <v>763</v>
      </c>
      <c r="G38" s="8" t="s">
        <v>969</v>
      </c>
      <c r="H38" s="3"/>
      <c r="I38" s="3"/>
      <c r="J38" s="3"/>
    </row>
    <row r="39" spans="1:10">
      <c r="A39" s="8">
        <v>882550075</v>
      </c>
      <c r="B39" s="3">
        <v>1</v>
      </c>
      <c r="C39" s="3" t="s">
        <v>970</v>
      </c>
      <c r="D39" s="3" t="s">
        <v>520</v>
      </c>
      <c r="E39" s="8">
        <v>117049</v>
      </c>
      <c r="F39" s="3" t="s">
        <v>971</v>
      </c>
      <c r="G39" s="8" t="s">
        <v>972</v>
      </c>
      <c r="H39" s="3"/>
      <c r="I39" s="3"/>
      <c r="J39" s="3"/>
    </row>
    <row r="40" spans="1:10">
      <c r="A40" s="8">
        <v>881700017</v>
      </c>
      <c r="B40" s="3">
        <v>5</v>
      </c>
      <c r="C40" s="3" t="s">
        <v>973</v>
      </c>
      <c r="D40" s="3" t="s">
        <v>520</v>
      </c>
      <c r="E40" s="8">
        <v>52947</v>
      </c>
      <c r="F40" s="3" t="s">
        <v>974</v>
      </c>
      <c r="G40" s="8" t="s">
        <v>975</v>
      </c>
      <c r="H40" s="3"/>
      <c r="I40" s="3"/>
      <c r="J40" s="3"/>
    </row>
    <row r="41" spans="1:10">
      <c r="A41" s="8">
        <v>881700019</v>
      </c>
      <c r="B41" s="3">
        <v>4</v>
      </c>
      <c r="C41" s="3" t="s">
        <v>976</v>
      </c>
      <c r="D41" s="3" t="s">
        <v>520</v>
      </c>
      <c r="E41" s="8">
        <v>52949</v>
      </c>
      <c r="F41" s="3" t="s">
        <v>974</v>
      </c>
      <c r="G41" s="8" t="s">
        <v>977</v>
      </c>
      <c r="H41" s="3"/>
      <c r="I41" s="3"/>
      <c r="J41" s="3"/>
    </row>
    <row r="42" spans="1:10">
      <c r="A42" s="8">
        <v>861700006</v>
      </c>
      <c r="B42" s="3">
        <v>2</v>
      </c>
      <c r="C42" s="3" t="s">
        <v>978</v>
      </c>
      <c r="D42" s="3" t="s">
        <v>520</v>
      </c>
      <c r="E42" s="8">
        <v>439127</v>
      </c>
      <c r="F42" s="3" t="s">
        <v>974</v>
      </c>
      <c r="G42" s="8" t="s">
        <v>979</v>
      </c>
      <c r="H42" s="3"/>
      <c r="I42" s="3"/>
      <c r="J42" s="3"/>
    </row>
    <row r="43" spans="1:10">
      <c r="A43" s="8">
        <v>881700020</v>
      </c>
      <c r="B43" s="3">
        <v>1</v>
      </c>
      <c r="C43" s="3" t="s">
        <v>980</v>
      </c>
      <c r="D43" s="3" t="s">
        <v>520</v>
      </c>
      <c r="E43" s="8">
        <v>217917</v>
      </c>
      <c r="F43" s="3" t="s">
        <v>974</v>
      </c>
      <c r="G43" s="8" t="s">
        <v>981</v>
      </c>
      <c r="H43" s="3"/>
      <c r="I43" s="3"/>
      <c r="J43" s="3"/>
    </row>
    <row r="44" spans="1:10">
      <c r="A44" s="8">
        <v>881720008</v>
      </c>
      <c r="B44" s="3">
        <v>8</v>
      </c>
      <c r="C44" s="3" t="s">
        <v>982</v>
      </c>
      <c r="D44" s="3" t="s">
        <v>520</v>
      </c>
      <c r="E44" s="8">
        <v>243133</v>
      </c>
      <c r="F44" s="3" t="s">
        <v>974</v>
      </c>
      <c r="G44" s="8" t="s">
        <v>983</v>
      </c>
      <c r="H44" s="3"/>
      <c r="I44" s="3"/>
      <c r="J44" s="3"/>
    </row>
    <row r="45" spans="1:10">
      <c r="A45" s="8">
        <v>881550427</v>
      </c>
      <c r="B45" s="3">
        <v>2</v>
      </c>
      <c r="C45" s="3" t="s">
        <v>984</v>
      </c>
      <c r="D45" s="3" t="s">
        <v>520</v>
      </c>
      <c r="E45" s="8">
        <v>440745</v>
      </c>
      <c r="F45" s="3" t="s">
        <v>974</v>
      </c>
      <c r="G45" s="8" t="s">
        <v>985</v>
      </c>
      <c r="H45" s="3"/>
      <c r="I45" s="3"/>
      <c r="J45" s="3"/>
    </row>
    <row r="46" spans="1:10">
      <c r="A46" s="8">
        <v>881550372</v>
      </c>
      <c r="B46" s="3">
        <v>5</v>
      </c>
      <c r="C46" s="3" t="s">
        <v>986</v>
      </c>
      <c r="D46" s="3" t="s">
        <v>520</v>
      </c>
      <c r="E46" s="8">
        <v>425708</v>
      </c>
      <c r="F46" s="3" t="s">
        <v>974</v>
      </c>
      <c r="G46" s="8" t="s">
        <v>987</v>
      </c>
      <c r="H46" s="3"/>
      <c r="I46" s="3"/>
      <c r="J46" s="3"/>
    </row>
    <row r="47" spans="1:10">
      <c r="A47" s="8">
        <v>861700007</v>
      </c>
      <c r="B47" s="3">
        <v>2</v>
      </c>
      <c r="C47" s="3" t="s">
        <v>988</v>
      </c>
      <c r="D47" s="3" t="s">
        <v>520</v>
      </c>
      <c r="E47" s="8">
        <v>478879</v>
      </c>
      <c r="F47" s="3" t="s">
        <v>974</v>
      </c>
      <c r="G47" s="8" t="s">
        <v>989</v>
      </c>
      <c r="H47" s="3"/>
      <c r="I47" s="3"/>
      <c r="J47" s="3"/>
    </row>
    <row r="48" spans="1:10">
      <c r="A48" s="8">
        <v>881700061</v>
      </c>
      <c r="B48" s="3">
        <v>4</v>
      </c>
      <c r="C48" s="3" t="s">
        <v>990</v>
      </c>
      <c r="D48" s="3" t="s">
        <v>520</v>
      </c>
      <c r="E48" s="8">
        <v>440744</v>
      </c>
      <c r="F48" s="3" t="s">
        <v>974</v>
      </c>
      <c r="G48" s="8" t="s">
        <v>991</v>
      </c>
      <c r="H48" s="3"/>
      <c r="I48" s="3"/>
      <c r="J48" s="3"/>
    </row>
    <row r="49" spans="1:10">
      <c r="A49" s="8">
        <v>861700021</v>
      </c>
      <c r="B49" s="3">
        <v>2</v>
      </c>
      <c r="C49" s="3" t="s">
        <v>992</v>
      </c>
      <c r="D49" s="3" t="s">
        <v>520</v>
      </c>
      <c r="E49" s="8">
        <v>586818</v>
      </c>
      <c r="F49" s="3" t="s">
        <v>974</v>
      </c>
      <c r="G49" s="8" t="s">
        <v>993</v>
      </c>
      <c r="H49" s="3"/>
      <c r="I49" s="3"/>
      <c r="J49" s="3"/>
    </row>
    <row r="50" spans="1:10">
      <c r="A50" s="8">
        <v>881550349</v>
      </c>
      <c r="B50" s="3">
        <v>3</v>
      </c>
      <c r="C50" s="3" t="s">
        <v>994</v>
      </c>
      <c r="D50" s="3" t="s">
        <v>520</v>
      </c>
      <c r="E50" s="8">
        <v>338346</v>
      </c>
      <c r="F50" s="3" t="s">
        <v>974</v>
      </c>
      <c r="G50" s="8" t="s">
        <v>995</v>
      </c>
      <c r="H50" s="3"/>
      <c r="I50" s="3"/>
      <c r="J50" s="3"/>
    </row>
    <row r="51" spans="1:10">
      <c r="A51" s="8">
        <v>881720011</v>
      </c>
      <c r="B51" s="3">
        <v>2</v>
      </c>
      <c r="C51" s="3" t="s">
        <v>996</v>
      </c>
      <c r="D51" s="3" t="s">
        <v>520</v>
      </c>
      <c r="E51" s="8">
        <v>436872</v>
      </c>
      <c r="F51" s="3" t="s">
        <v>974</v>
      </c>
      <c r="G51" s="8" t="s">
        <v>997</v>
      </c>
      <c r="H51" s="3"/>
      <c r="I51" s="3"/>
      <c r="J51" s="3"/>
    </row>
    <row r="52" spans="1:10">
      <c r="A52" s="8">
        <v>880550006</v>
      </c>
      <c r="B52" s="3">
        <v>8</v>
      </c>
      <c r="C52" s="3" t="s">
        <v>998</v>
      </c>
      <c r="D52" s="3" t="s">
        <v>520</v>
      </c>
      <c r="E52" s="8">
        <v>89151</v>
      </c>
      <c r="F52" s="3" t="s">
        <v>974</v>
      </c>
      <c r="G52" s="8" t="s">
        <v>999</v>
      </c>
      <c r="H52" s="3"/>
      <c r="I52" s="3"/>
      <c r="J52" s="3"/>
    </row>
    <row r="53" spans="1:10">
      <c r="A53" s="8">
        <v>861550215</v>
      </c>
      <c r="B53" s="3">
        <v>8</v>
      </c>
      <c r="C53" s="3" t="s">
        <v>1000</v>
      </c>
      <c r="D53" s="3" t="s">
        <v>520</v>
      </c>
      <c r="E53" s="8">
        <v>89158</v>
      </c>
      <c r="F53" s="3" t="s">
        <v>974</v>
      </c>
      <c r="G53" s="8" t="s">
        <v>1001</v>
      </c>
      <c r="H53" s="3"/>
      <c r="I53" s="3"/>
      <c r="J53" s="3"/>
    </row>
    <row r="54" spans="1:10">
      <c r="A54" s="8">
        <v>881550347</v>
      </c>
      <c r="B54" s="3">
        <v>2</v>
      </c>
      <c r="C54" s="3" t="s">
        <v>1002</v>
      </c>
      <c r="D54" s="3" t="s">
        <v>520</v>
      </c>
      <c r="E54" s="8">
        <v>276779</v>
      </c>
      <c r="F54" s="3" t="s">
        <v>974</v>
      </c>
      <c r="G54" s="8" t="s">
        <v>1003</v>
      </c>
      <c r="H54" s="3"/>
      <c r="I54" s="3"/>
      <c r="J54" s="3"/>
    </row>
    <row r="55" spans="1:10">
      <c r="A55" s="8">
        <v>881550379</v>
      </c>
      <c r="B55" s="3">
        <v>3</v>
      </c>
      <c r="C55" s="3" t="s">
        <v>1004</v>
      </c>
      <c r="D55" s="3" t="s">
        <v>520</v>
      </c>
      <c r="E55" s="8">
        <v>265410</v>
      </c>
      <c r="F55" s="3" t="s">
        <v>974</v>
      </c>
      <c r="G55" s="8" t="s">
        <v>1005</v>
      </c>
      <c r="H55" s="3"/>
      <c r="I55" s="3"/>
      <c r="J55" s="3"/>
    </row>
    <row r="56" spans="1:10">
      <c r="A56" s="8">
        <v>971550329</v>
      </c>
      <c r="B56" s="3">
        <v>1</v>
      </c>
      <c r="C56" s="3" t="s">
        <v>1006</v>
      </c>
      <c r="D56" s="3" t="s">
        <v>520</v>
      </c>
      <c r="E56" s="8">
        <v>275959</v>
      </c>
      <c r="F56" s="3" t="s">
        <v>1007</v>
      </c>
      <c r="G56" s="8" t="s">
        <v>1008</v>
      </c>
      <c r="H56" s="3"/>
      <c r="I56" s="3"/>
      <c r="J56" s="3"/>
    </row>
    <row r="57" spans="1:10">
      <c r="A57" s="8">
        <v>971550333</v>
      </c>
      <c r="B57" s="3">
        <v>1</v>
      </c>
      <c r="C57" s="3" t="s">
        <v>1009</v>
      </c>
      <c r="D57" s="3" t="s">
        <v>520</v>
      </c>
      <c r="E57" s="8">
        <v>268917</v>
      </c>
      <c r="F57" s="3" t="s">
        <v>1007</v>
      </c>
      <c r="G57" s="8" t="s">
        <v>1010</v>
      </c>
      <c r="H57" s="3"/>
      <c r="I57" s="3"/>
      <c r="J57" s="3"/>
    </row>
    <row r="58" spans="1:10">
      <c r="A58" s="8">
        <v>971390176</v>
      </c>
      <c r="B58" s="3">
        <v>1</v>
      </c>
      <c r="C58" s="3" t="s">
        <v>1011</v>
      </c>
      <c r="D58" s="3" t="s">
        <v>520</v>
      </c>
      <c r="E58" s="8">
        <v>6347681</v>
      </c>
      <c r="F58" s="3" t="s">
        <v>1012</v>
      </c>
      <c r="G58" s="8" t="s">
        <v>1013</v>
      </c>
      <c r="H58" s="3"/>
      <c r="I58" s="3"/>
      <c r="J58" s="3"/>
    </row>
    <row r="59" spans="1:10">
      <c r="A59" s="8">
        <v>61002413</v>
      </c>
      <c r="B59" s="3">
        <v>4</v>
      </c>
      <c r="C59" s="3" t="s">
        <v>1014</v>
      </c>
      <c r="D59" s="3" t="s">
        <v>520</v>
      </c>
      <c r="E59" s="8">
        <v>6319667</v>
      </c>
      <c r="F59" s="3" t="s">
        <v>1012</v>
      </c>
      <c r="G59" s="8" t="s">
        <v>1015</v>
      </c>
      <c r="H59" s="3"/>
      <c r="I59" s="3"/>
      <c r="J59" s="3"/>
    </row>
    <row r="60" spans="1:10">
      <c r="A60" s="8">
        <v>971550011</v>
      </c>
      <c r="B60" s="3">
        <v>1</v>
      </c>
      <c r="C60" s="3" t="s">
        <v>1016</v>
      </c>
      <c r="D60" s="3" t="s">
        <v>520</v>
      </c>
      <c r="E60" s="8">
        <v>6308589</v>
      </c>
      <c r="F60" s="3" t="s">
        <v>1012</v>
      </c>
      <c r="G60" s="8" t="s">
        <v>1017</v>
      </c>
      <c r="H60" s="3"/>
      <c r="I60" s="3"/>
      <c r="J60" s="3"/>
    </row>
    <row r="61" spans="1:10">
      <c r="A61" s="8">
        <v>971550144</v>
      </c>
      <c r="B61" s="3">
        <v>1</v>
      </c>
      <c r="C61" s="3" t="s">
        <v>1018</v>
      </c>
      <c r="D61" s="3" t="s">
        <v>520</v>
      </c>
      <c r="E61" s="8">
        <v>6444514</v>
      </c>
      <c r="F61" s="3" t="s">
        <v>1012</v>
      </c>
      <c r="G61" s="8" t="s">
        <v>1019</v>
      </c>
      <c r="H61" s="3"/>
      <c r="I61" s="3"/>
      <c r="J61" s="3"/>
    </row>
    <row r="62" spans="1:10">
      <c r="A62" s="8">
        <v>971700028</v>
      </c>
      <c r="B62" s="3">
        <v>1</v>
      </c>
      <c r="C62" s="3" t="s">
        <v>1020</v>
      </c>
      <c r="D62" s="3" t="s">
        <v>520</v>
      </c>
      <c r="E62" s="8">
        <v>6447295</v>
      </c>
      <c r="F62" s="3" t="s">
        <v>800</v>
      </c>
      <c r="G62" s="8" t="s">
        <v>1021</v>
      </c>
      <c r="H62" s="3"/>
      <c r="I62" s="3"/>
      <c r="J62" s="3"/>
    </row>
    <row r="63" spans="1:10">
      <c r="A63" s="8">
        <v>971390111</v>
      </c>
      <c r="B63" s="3">
        <v>1</v>
      </c>
      <c r="C63" s="3" t="s">
        <v>1022</v>
      </c>
      <c r="D63" s="3" t="s">
        <v>1023</v>
      </c>
      <c r="E63" s="8" t="s">
        <v>1024</v>
      </c>
      <c r="F63" s="3" t="s">
        <v>1023</v>
      </c>
      <c r="G63" s="8" t="s">
        <v>1024</v>
      </c>
      <c r="H63" s="3"/>
      <c r="I63" s="3"/>
      <c r="J63" s="3"/>
    </row>
    <row r="64" spans="1:10">
      <c r="A64" s="8">
        <v>971720030</v>
      </c>
      <c r="B64" s="3">
        <v>2</v>
      </c>
      <c r="C64" s="3" t="s">
        <v>1025</v>
      </c>
      <c r="D64" s="3" t="s">
        <v>520</v>
      </c>
      <c r="E64" s="8">
        <v>8443</v>
      </c>
      <c r="F64" s="3" t="s">
        <v>1012</v>
      </c>
      <c r="G64" s="8" t="s">
        <v>1026</v>
      </c>
      <c r="H64" s="3"/>
      <c r="I64" s="3"/>
      <c r="J64" s="3"/>
    </row>
    <row r="65" spans="1:10">
      <c r="A65" s="8">
        <v>825700021</v>
      </c>
      <c r="B65" s="3">
        <v>1</v>
      </c>
      <c r="C65" s="3" t="s">
        <v>1027</v>
      </c>
      <c r="D65" s="3" t="s">
        <v>520</v>
      </c>
      <c r="E65" s="8">
        <v>6447284</v>
      </c>
      <c r="F65" s="3" t="s">
        <v>800</v>
      </c>
      <c r="G65" s="8" t="s">
        <v>1028</v>
      </c>
      <c r="H65" s="3"/>
      <c r="I65" s="3"/>
      <c r="J65" s="3"/>
    </row>
    <row r="66" spans="1:10">
      <c r="A66" s="8">
        <v>971551132</v>
      </c>
      <c r="B66" s="3">
        <v>1</v>
      </c>
      <c r="C66" s="3" t="s">
        <v>1029</v>
      </c>
      <c r="D66" s="3" t="s">
        <v>1012</v>
      </c>
      <c r="E66" s="8">
        <v>932656</v>
      </c>
      <c r="F66" s="7" t="s">
        <v>1030</v>
      </c>
      <c r="G66" s="8">
        <v>932656</v>
      </c>
      <c r="H66" s="3"/>
      <c r="I66" s="3"/>
      <c r="J66" s="3"/>
    </row>
    <row r="67" spans="1:10">
      <c r="A67" s="8">
        <v>972720132</v>
      </c>
      <c r="B67" s="3">
        <v>1</v>
      </c>
      <c r="C67" s="3" t="s">
        <v>1031</v>
      </c>
      <c r="D67" s="3" t="s">
        <v>520</v>
      </c>
      <c r="E67" s="8">
        <v>6398287</v>
      </c>
      <c r="F67" s="3" t="s">
        <v>800</v>
      </c>
      <c r="G67" s="8" t="s">
        <v>1032</v>
      </c>
      <c r="H67" s="3"/>
      <c r="I67" s="3"/>
      <c r="J67" s="3"/>
    </row>
    <row r="68" spans="1:10">
      <c r="A68" s="8">
        <v>882550081</v>
      </c>
      <c r="B68" s="3">
        <v>1</v>
      </c>
      <c r="C68" s="3" t="s">
        <v>1033</v>
      </c>
      <c r="D68" s="3" t="s">
        <v>520</v>
      </c>
      <c r="E68" s="8">
        <v>1450</v>
      </c>
      <c r="F68" s="3" t="s">
        <v>763</v>
      </c>
      <c r="G68" s="8" t="s">
        <v>1034</v>
      </c>
      <c r="H68" s="3"/>
      <c r="I68" s="3"/>
      <c r="J68" s="3"/>
    </row>
    <row r="69" spans="1:10">
      <c r="A69" s="8">
        <v>882550162</v>
      </c>
      <c r="B69" s="3">
        <v>1</v>
      </c>
      <c r="C69" s="3" t="s">
        <v>1035</v>
      </c>
      <c r="D69" s="3" t="s">
        <v>520</v>
      </c>
      <c r="E69" s="8">
        <v>359278</v>
      </c>
      <c r="F69" s="3" t="s">
        <v>1036</v>
      </c>
      <c r="G69" s="8" t="s">
        <v>1037</v>
      </c>
      <c r="H69" s="3"/>
      <c r="I69" s="3"/>
      <c r="J69" s="3"/>
    </row>
    <row r="70" spans="1:10">
      <c r="A70" s="8">
        <v>973720041</v>
      </c>
      <c r="B70" s="3">
        <v>2</v>
      </c>
      <c r="C70" s="3" t="s">
        <v>1038</v>
      </c>
      <c r="D70" s="3" t="s">
        <v>520</v>
      </c>
      <c r="E70" s="8">
        <v>345497</v>
      </c>
      <c r="F70" s="3" t="s">
        <v>1039</v>
      </c>
      <c r="G70" s="8" t="s">
        <v>1040</v>
      </c>
      <c r="H70" s="3"/>
      <c r="I70" s="3"/>
      <c r="J70" s="3"/>
    </row>
    <row r="71" spans="1:10">
      <c r="A71" s="8">
        <v>973550043</v>
      </c>
      <c r="B71" s="3">
        <v>2</v>
      </c>
      <c r="C71" s="3" t="s">
        <v>1041</v>
      </c>
      <c r="D71" s="3" t="s">
        <v>520</v>
      </c>
      <c r="E71" s="8">
        <v>359285</v>
      </c>
      <c r="F71" s="3" t="s">
        <v>1039</v>
      </c>
      <c r="G71" s="8" t="s">
        <v>1042</v>
      </c>
      <c r="H71" s="3"/>
      <c r="I71" s="3"/>
      <c r="J71" s="3"/>
    </row>
    <row r="72" spans="1:10">
      <c r="A72" s="8">
        <v>972720131</v>
      </c>
      <c r="B72" s="3">
        <v>1</v>
      </c>
      <c r="C72" s="3" t="s">
        <v>1043</v>
      </c>
      <c r="D72" s="3" t="s">
        <v>520</v>
      </c>
      <c r="E72" s="8">
        <v>6401478</v>
      </c>
      <c r="F72" s="3" t="s">
        <v>103</v>
      </c>
      <c r="G72" s="8" t="s">
        <v>1044</v>
      </c>
      <c r="H72" s="3"/>
      <c r="I72" s="3"/>
      <c r="J72" s="3"/>
    </row>
    <row r="73" spans="1:10">
      <c r="A73" s="8"/>
      <c r="B73" s="3">
        <v>1</v>
      </c>
      <c r="C73" s="3" t="s">
        <v>1045</v>
      </c>
      <c r="D73" s="3" t="s">
        <v>520</v>
      </c>
      <c r="E73" s="8">
        <v>6411859</v>
      </c>
      <c r="F73" s="3" t="s">
        <v>103</v>
      </c>
      <c r="G73" s="8" t="s">
        <v>1046</v>
      </c>
      <c r="H73" s="3"/>
      <c r="I73" s="3"/>
      <c r="J73" s="3"/>
    </row>
    <row r="74" spans="1:10">
      <c r="A74" s="8"/>
      <c r="B74" s="3">
        <v>3</v>
      </c>
      <c r="C74" s="3" t="s">
        <v>1047</v>
      </c>
      <c r="D74" s="3" t="s">
        <v>520</v>
      </c>
      <c r="E74" s="8">
        <v>89042</v>
      </c>
      <c r="F74" s="3" t="s">
        <v>103</v>
      </c>
      <c r="G74" s="8" t="s">
        <v>1048</v>
      </c>
      <c r="H74" s="3"/>
      <c r="I74" s="3"/>
      <c r="J74" s="3"/>
    </row>
    <row r="75" spans="1:10">
      <c r="A75" s="8">
        <v>972700057</v>
      </c>
      <c r="B75" s="3">
        <v>2</v>
      </c>
      <c r="C75" s="3" t="s">
        <v>1049</v>
      </c>
      <c r="D75" s="3" t="s">
        <v>520</v>
      </c>
      <c r="E75" s="8">
        <v>6307717</v>
      </c>
      <c r="F75" s="3" t="s">
        <v>103</v>
      </c>
      <c r="G75" s="8" t="s">
        <v>1050</v>
      </c>
      <c r="H75" s="3"/>
      <c r="I75" s="3"/>
      <c r="J75" s="3"/>
    </row>
    <row r="76" spans="1:10">
      <c r="A76" s="8">
        <v>972720841</v>
      </c>
      <c r="B76" s="3">
        <v>1</v>
      </c>
      <c r="C76" s="3" t="s">
        <v>1051</v>
      </c>
      <c r="D76" s="3" t="s">
        <v>520</v>
      </c>
      <c r="E76" s="8">
        <v>6316250</v>
      </c>
      <c r="F76" s="3" t="s">
        <v>103</v>
      </c>
      <c r="G76" s="8" t="s">
        <v>1052</v>
      </c>
      <c r="H76" s="3"/>
      <c r="I76" s="3"/>
      <c r="J76" s="3"/>
    </row>
    <row r="77" spans="1:10">
      <c r="A77" s="8"/>
      <c r="B77" s="3">
        <v>1</v>
      </c>
      <c r="C77" s="3" t="s">
        <v>649</v>
      </c>
      <c r="D77" s="3" t="s">
        <v>520</v>
      </c>
      <c r="E77" s="8">
        <v>6354398</v>
      </c>
      <c r="F77" s="3" t="s">
        <v>103</v>
      </c>
      <c r="G77" s="8" t="s">
        <v>1053</v>
      </c>
      <c r="H77" s="3"/>
      <c r="I77" s="3"/>
      <c r="J77" s="3"/>
    </row>
    <row r="78" spans="1:10">
      <c r="A78" s="8">
        <v>882700057</v>
      </c>
      <c r="B78" s="3">
        <v>2</v>
      </c>
      <c r="C78" s="3" t="s">
        <v>1054</v>
      </c>
      <c r="D78" s="3" t="s">
        <v>520</v>
      </c>
      <c r="E78" s="8">
        <v>89034</v>
      </c>
      <c r="F78" s="3" t="s">
        <v>103</v>
      </c>
      <c r="G78" s="8" t="s">
        <v>1055</v>
      </c>
      <c r="H78" s="3"/>
      <c r="I78" s="3"/>
      <c r="J78" s="3"/>
    </row>
    <row r="79" spans="1:10">
      <c r="A79" s="8">
        <v>882720022</v>
      </c>
      <c r="B79" s="3">
        <v>1</v>
      </c>
      <c r="C79" s="3" t="s">
        <v>1056</v>
      </c>
      <c r="D79" s="3" t="s">
        <v>520</v>
      </c>
      <c r="E79" s="8">
        <v>399299</v>
      </c>
      <c r="F79" s="3" t="s">
        <v>142</v>
      </c>
      <c r="G79" s="8" t="s">
        <v>1057</v>
      </c>
      <c r="H79" s="3"/>
      <c r="I79" s="3"/>
      <c r="J79" s="3"/>
    </row>
    <row r="80" spans="1:10">
      <c r="A80" s="8">
        <v>882720025</v>
      </c>
      <c r="B80" s="3">
        <v>1</v>
      </c>
      <c r="C80" s="3" t="s">
        <v>1058</v>
      </c>
      <c r="D80" s="3" t="s">
        <v>520</v>
      </c>
      <c r="E80" s="8">
        <v>399298</v>
      </c>
      <c r="F80" s="3" t="s">
        <v>142</v>
      </c>
      <c r="G80" s="8" t="s">
        <v>1059</v>
      </c>
      <c r="H80" s="3"/>
      <c r="I80" s="3"/>
      <c r="J80" s="3"/>
    </row>
    <row r="81" spans="1:10">
      <c r="A81" s="8">
        <v>972720842</v>
      </c>
      <c r="B81" s="3">
        <v>2</v>
      </c>
      <c r="C81" s="3" t="s">
        <v>1060</v>
      </c>
      <c r="D81" s="3" t="s">
        <v>520</v>
      </c>
      <c r="E81" s="8">
        <v>5911028</v>
      </c>
      <c r="F81" s="3" t="s">
        <v>142</v>
      </c>
      <c r="G81" s="8" t="s">
        <v>1061</v>
      </c>
      <c r="H81" s="3"/>
      <c r="I81" s="3"/>
      <c r="J81" s="3"/>
    </row>
    <row r="82" spans="1:10">
      <c r="A82" s="8">
        <v>972550072</v>
      </c>
      <c r="B82" s="3">
        <v>2</v>
      </c>
      <c r="C82" s="3" t="s">
        <v>1062</v>
      </c>
      <c r="D82" s="3" t="s">
        <v>520</v>
      </c>
      <c r="E82" s="8">
        <v>87208</v>
      </c>
      <c r="F82" s="3" t="s">
        <v>142</v>
      </c>
      <c r="G82" s="8" t="s">
        <v>1063</v>
      </c>
      <c r="H82" s="3"/>
      <c r="I82" s="3"/>
      <c r="J82" s="3"/>
    </row>
    <row r="83" spans="1:10">
      <c r="A83" s="8">
        <v>972580235</v>
      </c>
      <c r="B83" s="3">
        <v>2</v>
      </c>
      <c r="C83" s="3" t="s">
        <v>1064</v>
      </c>
      <c r="D83" s="3" t="s">
        <v>520</v>
      </c>
      <c r="E83" s="8">
        <v>5911024</v>
      </c>
      <c r="F83" s="3" t="s">
        <v>142</v>
      </c>
      <c r="G83" s="8" t="s">
        <v>1065</v>
      </c>
      <c r="H83" s="3"/>
      <c r="I83" s="3"/>
      <c r="J83" s="3"/>
    </row>
    <row r="84" spans="1:10" ht="38.25" customHeight="1">
      <c r="A84" s="83" t="s">
        <v>96</v>
      </c>
      <c r="B84" s="83"/>
      <c r="C84" s="83"/>
      <c r="D84" s="83"/>
      <c r="E84" s="83"/>
      <c r="F84" s="83"/>
      <c r="G84" s="83"/>
      <c r="H84" s="83"/>
      <c r="I84" s="83"/>
      <c r="J84" s="83"/>
    </row>
  </sheetData>
  <mergeCells count="10">
    <mergeCell ref="A84:J84"/>
    <mergeCell ref="A1:G1"/>
    <mergeCell ref="H1:J1"/>
    <mergeCell ref="A2:A3"/>
    <mergeCell ref="B2:B3"/>
    <mergeCell ref="C2:C3"/>
    <mergeCell ref="D2:E2"/>
    <mergeCell ref="F2:G2"/>
    <mergeCell ref="H2:H3"/>
    <mergeCell ref="I2:J2"/>
  </mergeCells>
  <pageMargins left="0.7" right="0.7" top="0.58083333333333331" bottom="0.75" header="0.3" footer="0.3"/>
  <pageSetup scale="60" fitToHeight="0" orientation="landscape" r:id="rId1"/>
  <headerFooter>
    <oddHeader>&amp;C&amp;"-,Bold"MIDLIFE OVERHAUL 2015-16 NEW FLYER XN40 (SR1947: 2830-2993)</oddHeader>
    <oddFooter>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CC7A3-9F41-4B0C-9994-2AE67BA454A5}">
  <sheetPr>
    <pageSetUpPr fitToPage="1"/>
  </sheetPr>
  <dimension ref="A1:J44"/>
  <sheetViews>
    <sheetView view="pageLayout" topLeftCell="A2" zoomScaleNormal="100" workbookViewId="0">
      <selection activeCell="F29" sqref="F29"/>
    </sheetView>
  </sheetViews>
  <sheetFormatPr defaultRowHeight="14.45"/>
  <cols>
    <col min="1" max="1" width="10.7109375" customWidth="1"/>
    <col min="2" max="2" width="4.28515625" bestFit="1" customWidth="1"/>
    <col min="3" max="3" width="39.42578125" bestFit="1" customWidth="1"/>
    <col min="4" max="4" width="24.7109375" customWidth="1"/>
    <col min="5" max="5" width="12.5703125" customWidth="1"/>
    <col min="6" max="6" width="30.28515625" bestFit="1" customWidth="1"/>
    <col min="7" max="7" width="19.7109375" customWidth="1"/>
    <col min="8" max="8" width="13.5703125" customWidth="1"/>
    <col min="9" max="9" width="11.42578125" customWidth="1"/>
    <col min="10" max="10" width="12.140625" customWidth="1"/>
  </cols>
  <sheetData>
    <row r="1" spans="1:10" ht="15" customHeight="1">
      <c r="A1" s="76" t="s">
        <v>1066</v>
      </c>
      <c r="B1" s="77"/>
      <c r="C1" s="77"/>
      <c r="D1" s="77"/>
      <c r="E1" s="77"/>
      <c r="F1" s="77"/>
      <c r="G1" s="78"/>
      <c r="H1" s="82" t="s">
        <v>41</v>
      </c>
      <c r="I1" s="73"/>
      <c r="J1" s="74"/>
    </row>
    <row r="2" spans="1:10">
      <c r="A2" s="72" t="s">
        <v>98</v>
      </c>
      <c r="B2" s="72" t="s">
        <v>43</v>
      </c>
      <c r="C2" s="72" t="s">
        <v>44</v>
      </c>
      <c r="D2" s="72" t="s">
        <v>45</v>
      </c>
      <c r="E2" s="72"/>
      <c r="F2" s="73" t="s">
        <v>46</v>
      </c>
      <c r="G2" s="74"/>
      <c r="H2" s="72" t="s">
        <v>47</v>
      </c>
      <c r="I2" s="75" t="s">
        <v>48</v>
      </c>
      <c r="J2" s="75"/>
    </row>
    <row r="3" spans="1:10">
      <c r="A3" s="72"/>
      <c r="B3" s="72"/>
      <c r="C3" s="72"/>
      <c r="D3" s="1" t="s">
        <v>49</v>
      </c>
      <c r="E3" s="1" t="s">
        <v>50</v>
      </c>
      <c r="F3" s="1" t="s">
        <v>49</v>
      </c>
      <c r="G3" s="1" t="s">
        <v>50</v>
      </c>
      <c r="H3" s="72"/>
      <c r="I3" s="2" t="s">
        <v>51</v>
      </c>
      <c r="J3" s="2" t="s">
        <v>52</v>
      </c>
    </row>
    <row r="4" spans="1:10">
      <c r="A4" s="3">
        <v>930330001</v>
      </c>
      <c r="B4" s="3">
        <v>1</v>
      </c>
      <c r="C4" s="3" t="s">
        <v>1067</v>
      </c>
      <c r="D4" s="7" t="s">
        <v>54</v>
      </c>
      <c r="E4" s="8">
        <v>6344747</v>
      </c>
      <c r="F4" s="7" t="s">
        <v>54</v>
      </c>
      <c r="G4" s="8" t="s">
        <v>1068</v>
      </c>
      <c r="H4" s="3"/>
      <c r="I4" s="3"/>
      <c r="J4" s="3"/>
    </row>
    <row r="5" spans="1:10">
      <c r="A5" s="3">
        <v>921720036</v>
      </c>
      <c r="B5" s="3">
        <v>1</v>
      </c>
      <c r="C5" s="3" t="s">
        <v>1069</v>
      </c>
      <c r="D5" s="7" t="s">
        <v>54</v>
      </c>
      <c r="E5" s="8">
        <v>6447271</v>
      </c>
      <c r="F5" s="7" t="s">
        <v>1070</v>
      </c>
      <c r="G5" s="8" t="s">
        <v>1071</v>
      </c>
      <c r="H5" s="3"/>
      <c r="I5" s="3"/>
      <c r="J5" s="3"/>
    </row>
    <row r="6" spans="1:10">
      <c r="A6" s="3">
        <v>921720037</v>
      </c>
      <c r="B6" s="3">
        <v>1</v>
      </c>
      <c r="C6" s="3" t="s">
        <v>1072</v>
      </c>
      <c r="D6" s="7" t="s">
        <v>54</v>
      </c>
      <c r="E6" s="8">
        <v>6447269</v>
      </c>
      <c r="F6" s="7" t="s">
        <v>1070</v>
      </c>
      <c r="G6" s="8" t="s">
        <v>1073</v>
      </c>
      <c r="H6" s="3"/>
      <c r="I6" s="3"/>
      <c r="J6" s="3"/>
    </row>
    <row r="7" spans="1:10">
      <c r="A7" s="3">
        <v>941720002</v>
      </c>
      <c r="B7" s="3">
        <v>2</v>
      </c>
      <c r="C7" s="3" t="s">
        <v>1074</v>
      </c>
      <c r="D7" s="7" t="s">
        <v>54</v>
      </c>
      <c r="E7" s="8">
        <v>6346288</v>
      </c>
      <c r="F7" s="7" t="s">
        <v>54</v>
      </c>
      <c r="G7" s="8" t="s">
        <v>1075</v>
      </c>
      <c r="H7" s="3"/>
      <c r="I7" s="3"/>
      <c r="J7" s="3"/>
    </row>
    <row r="8" spans="1:10">
      <c r="A8" s="3">
        <v>921720012</v>
      </c>
      <c r="B8" s="3">
        <v>36</v>
      </c>
      <c r="C8" s="3" t="s">
        <v>1076</v>
      </c>
      <c r="D8" s="7" t="s">
        <v>54</v>
      </c>
      <c r="E8" s="8">
        <v>6361062</v>
      </c>
      <c r="F8" s="7" t="s">
        <v>54</v>
      </c>
      <c r="G8" s="8" t="s">
        <v>1077</v>
      </c>
      <c r="H8" s="3"/>
      <c r="I8" s="3"/>
      <c r="J8" s="3"/>
    </row>
    <row r="9" spans="1:10">
      <c r="A9" s="3">
        <v>932550121</v>
      </c>
      <c r="B9" s="3">
        <v>2</v>
      </c>
      <c r="C9" s="3" t="s">
        <v>1078</v>
      </c>
      <c r="D9" s="7" t="s">
        <v>54</v>
      </c>
      <c r="E9" s="8">
        <v>6448630</v>
      </c>
      <c r="F9" s="7" t="s">
        <v>54</v>
      </c>
      <c r="G9" s="8" t="s">
        <v>1079</v>
      </c>
      <c r="H9" s="3"/>
      <c r="I9" s="3"/>
      <c r="J9" s="3"/>
    </row>
    <row r="10" spans="1:10">
      <c r="A10" s="3">
        <v>941720004</v>
      </c>
      <c r="B10" s="3">
        <v>2</v>
      </c>
      <c r="C10" s="3" t="s">
        <v>1080</v>
      </c>
      <c r="D10" s="7" t="s">
        <v>54</v>
      </c>
      <c r="E10" s="19">
        <v>6346290</v>
      </c>
      <c r="F10" s="20" t="s">
        <v>1070</v>
      </c>
      <c r="G10" s="21" t="s">
        <v>1081</v>
      </c>
      <c r="H10" s="8"/>
      <c r="I10" s="3"/>
      <c r="J10" s="3"/>
    </row>
    <row r="11" spans="1:10">
      <c r="A11" s="3">
        <v>921720011</v>
      </c>
      <c r="B11" s="3">
        <v>2</v>
      </c>
      <c r="C11" s="12" t="s">
        <v>1082</v>
      </c>
      <c r="D11" s="7" t="s">
        <v>54</v>
      </c>
      <c r="E11" s="22">
        <v>6347297</v>
      </c>
      <c r="F11" s="20" t="s">
        <v>1070</v>
      </c>
      <c r="G11" s="22" t="s">
        <v>1083</v>
      </c>
      <c r="H11" s="15"/>
      <c r="I11" s="3"/>
      <c r="J11" s="3"/>
    </row>
    <row r="12" spans="1:10">
      <c r="A12" s="3">
        <v>921720010</v>
      </c>
      <c r="B12" s="12">
        <v>2</v>
      </c>
      <c r="C12" s="3" t="s">
        <v>1084</v>
      </c>
      <c r="D12" s="7" t="s">
        <v>54</v>
      </c>
      <c r="E12" s="19">
        <v>6447341</v>
      </c>
      <c r="F12" s="20" t="s">
        <v>1070</v>
      </c>
      <c r="G12" s="21" t="s">
        <v>1085</v>
      </c>
      <c r="H12" s="3"/>
      <c r="I12" s="3"/>
      <c r="J12" s="3"/>
    </row>
    <row r="13" spans="1:10">
      <c r="A13" s="3">
        <v>921570030</v>
      </c>
      <c r="B13" s="3">
        <v>2</v>
      </c>
      <c r="C13" s="3" t="s">
        <v>1086</v>
      </c>
      <c r="D13" s="7" t="s">
        <v>54</v>
      </c>
      <c r="E13" s="22">
        <v>6344419</v>
      </c>
      <c r="F13" s="23" t="s">
        <v>1087</v>
      </c>
      <c r="G13" s="24" t="s">
        <v>1088</v>
      </c>
      <c r="H13" s="3"/>
      <c r="I13" s="3"/>
      <c r="J13" s="3"/>
    </row>
    <row r="14" spans="1:10">
      <c r="A14" s="3">
        <v>933550018</v>
      </c>
      <c r="B14" s="3">
        <v>2</v>
      </c>
      <c r="C14" s="3" t="s">
        <v>1089</v>
      </c>
      <c r="D14" s="7" t="s">
        <v>54</v>
      </c>
      <c r="E14" s="22">
        <v>6344768</v>
      </c>
      <c r="F14" s="23" t="s">
        <v>54</v>
      </c>
      <c r="G14" s="22" t="s">
        <v>1090</v>
      </c>
      <c r="H14" s="3"/>
      <c r="I14" s="3"/>
      <c r="J14" s="3"/>
    </row>
    <row r="15" spans="1:10">
      <c r="A15" s="3">
        <v>942720017</v>
      </c>
      <c r="B15" s="3">
        <v>4</v>
      </c>
      <c r="C15" s="3" t="s">
        <v>1091</v>
      </c>
      <c r="D15" s="7" t="s">
        <v>54</v>
      </c>
      <c r="E15" s="22">
        <v>6344764</v>
      </c>
      <c r="F15" s="23" t="s">
        <v>54</v>
      </c>
      <c r="G15" s="22" t="s">
        <v>1092</v>
      </c>
      <c r="H15" s="3"/>
      <c r="I15" s="3"/>
      <c r="J15" s="3"/>
    </row>
    <row r="16" spans="1:10">
      <c r="A16" s="3">
        <v>997700004</v>
      </c>
      <c r="B16" s="3">
        <v>2</v>
      </c>
      <c r="C16" s="3" t="s">
        <v>1093</v>
      </c>
      <c r="D16" s="7" t="s">
        <v>54</v>
      </c>
      <c r="E16" s="22">
        <v>404164</v>
      </c>
      <c r="F16" s="20" t="s">
        <v>1070</v>
      </c>
      <c r="G16" s="24" t="s">
        <v>1094</v>
      </c>
      <c r="H16" s="3"/>
      <c r="I16" s="3"/>
      <c r="J16" s="3"/>
    </row>
    <row r="17" spans="1:10">
      <c r="A17" s="3">
        <v>992550002</v>
      </c>
      <c r="B17" s="3">
        <v>2</v>
      </c>
      <c r="C17" s="3" t="s">
        <v>1095</v>
      </c>
      <c r="D17" s="7" t="s">
        <v>54</v>
      </c>
      <c r="E17" s="22" t="s">
        <v>1096</v>
      </c>
      <c r="F17" s="23" t="s">
        <v>59</v>
      </c>
      <c r="G17" s="22" t="s">
        <v>1096</v>
      </c>
      <c r="H17" s="3"/>
      <c r="I17" s="3"/>
      <c r="J17" s="3"/>
    </row>
    <row r="18" spans="1:10">
      <c r="A18" s="3">
        <v>921720035</v>
      </c>
      <c r="B18" s="3">
        <v>1</v>
      </c>
      <c r="C18" s="3" t="s">
        <v>1097</v>
      </c>
      <c r="D18" s="7" t="s">
        <v>54</v>
      </c>
      <c r="E18" s="22">
        <v>6447270</v>
      </c>
      <c r="F18" s="20" t="s">
        <v>1070</v>
      </c>
      <c r="G18" s="22" t="s">
        <v>1098</v>
      </c>
      <c r="I18" s="3"/>
      <c r="J18" s="3"/>
    </row>
    <row r="19" spans="1:10">
      <c r="A19" s="3">
        <v>921720038</v>
      </c>
      <c r="B19" s="3">
        <v>1</v>
      </c>
      <c r="C19" s="3" t="s">
        <v>1099</v>
      </c>
      <c r="D19" s="7" t="s">
        <v>54</v>
      </c>
      <c r="E19" s="22">
        <v>6447272</v>
      </c>
      <c r="F19" s="20" t="s">
        <v>1070</v>
      </c>
      <c r="G19" s="22" t="s">
        <v>1100</v>
      </c>
      <c r="H19" s="3"/>
      <c r="I19" s="3"/>
      <c r="J19" s="3"/>
    </row>
    <row r="20" spans="1:10">
      <c r="A20" s="3">
        <v>914580041</v>
      </c>
      <c r="B20" s="3">
        <v>1</v>
      </c>
      <c r="C20" s="3" t="s">
        <v>1101</v>
      </c>
      <c r="D20" s="7" t="s">
        <v>54</v>
      </c>
      <c r="E20" s="22">
        <v>6407901</v>
      </c>
      <c r="F20" s="23" t="s">
        <v>54</v>
      </c>
      <c r="G20" s="22" t="s">
        <v>1102</v>
      </c>
      <c r="H20" s="3"/>
      <c r="I20" s="3"/>
      <c r="J20" s="3"/>
    </row>
    <row r="21" spans="1:10">
      <c r="A21" s="3">
        <v>942720018</v>
      </c>
      <c r="B21" s="3">
        <v>20</v>
      </c>
      <c r="C21" s="3" t="s">
        <v>1103</v>
      </c>
      <c r="D21" s="7" t="s">
        <v>54</v>
      </c>
      <c r="E21" s="22">
        <v>6407909</v>
      </c>
      <c r="F21" s="23" t="s">
        <v>54</v>
      </c>
      <c r="G21" s="22" t="s">
        <v>1104</v>
      </c>
      <c r="H21" s="3"/>
      <c r="I21" s="3"/>
      <c r="J21" s="3"/>
    </row>
    <row r="22" spans="1:10">
      <c r="A22" s="12">
        <v>921720013</v>
      </c>
      <c r="B22" s="12">
        <v>12</v>
      </c>
      <c r="C22" s="12" t="s">
        <v>1105</v>
      </c>
      <c r="D22" s="17" t="s">
        <v>54</v>
      </c>
      <c r="E22" s="19">
        <v>6458685</v>
      </c>
      <c r="F22" s="20" t="s">
        <v>1070</v>
      </c>
      <c r="G22" s="21" t="s">
        <v>1106</v>
      </c>
      <c r="H22" s="3"/>
      <c r="I22" s="3"/>
      <c r="J22" s="3"/>
    </row>
    <row r="23" spans="1:10">
      <c r="A23" s="12">
        <v>921720019</v>
      </c>
      <c r="B23" s="12">
        <v>2</v>
      </c>
      <c r="C23" s="12" t="s">
        <v>1082</v>
      </c>
      <c r="D23" s="17" t="s">
        <v>54</v>
      </c>
      <c r="E23" s="15">
        <v>6359347</v>
      </c>
      <c r="F23" s="20" t="s">
        <v>1070</v>
      </c>
      <c r="G23" s="8" t="s">
        <v>1107</v>
      </c>
      <c r="H23" s="3"/>
      <c r="I23" s="3"/>
      <c r="J23" s="3"/>
    </row>
    <row r="24" spans="1:10">
      <c r="A24" s="12">
        <v>921720042</v>
      </c>
      <c r="B24" s="12">
        <v>2</v>
      </c>
      <c r="C24" s="12" t="s">
        <v>1108</v>
      </c>
      <c r="D24" s="17" t="s">
        <v>54</v>
      </c>
      <c r="E24" s="15">
        <v>480374</v>
      </c>
      <c r="F24" s="7" t="s">
        <v>289</v>
      </c>
      <c r="G24" s="25" t="s">
        <v>1109</v>
      </c>
      <c r="H24" s="3"/>
      <c r="I24" s="3"/>
      <c r="J24" s="3"/>
    </row>
    <row r="25" spans="1:10">
      <c r="A25" s="12">
        <v>942720009</v>
      </c>
      <c r="B25" s="12">
        <v>20</v>
      </c>
      <c r="C25" s="12" t="s">
        <v>1110</v>
      </c>
      <c r="D25" s="17" t="s">
        <v>54</v>
      </c>
      <c r="E25" s="15">
        <v>6392550</v>
      </c>
      <c r="F25" s="7" t="s">
        <v>54</v>
      </c>
      <c r="G25" s="8" t="s">
        <v>1111</v>
      </c>
      <c r="H25" s="3"/>
      <c r="I25" s="3"/>
      <c r="J25" s="3"/>
    </row>
    <row r="26" spans="1:10">
      <c r="A26" s="12">
        <v>853550002</v>
      </c>
      <c r="B26" s="12">
        <v>1</v>
      </c>
      <c r="C26" s="12" t="s">
        <v>1112</v>
      </c>
      <c r="D26" s="17" t="s">
        <v>54</v>
      </c>
      <c r="E26" s="15">
        <v>6411033</v>
      </c>
      <c r="F26" s="7" t="s">
        <v>54</v>
      </c>
      <c r="G26" s="8" t="s">
        <v>1113</v>
      </c>
      <c r="H26" s="3"/>
      <c r="I26" s="3"/>
      <c r="J26" s="3"/>
    </row>
    <row r="27" spans="1:10">
      <c r="A27" s="12">
        <v>942720002</v>
      </c>
      <c r="B27" s="12">
        <v>2</v>
      </c>
      <c r="C27" s="12" t="s">
        <v>1114</v>
      </c>
      <c r="D27" s="17" t="s">
        <v>54</v>
      </c>
      <c r="E27" s="15">
        <v>6392545</v>
      </c>
      <c r="F27" s="7" t="s">
        <v>54</v>
      </c>
      <c r="G27" s="8" t="s">
        <v>1115</v>
      </c>
      <c r="H27" s="3"/>
      <c r="I27" s="3"/>
      <c r="J27" s="3"/>
    </row>
    <row r="28" spans="1:10">
      <c r="A28" s="12">
        <v>942720008</v>
      </c>
      <c r="B28" s="12">
        <v>2</v>
      </c>
      <c r="C28" s="12" t="s">
        <v>1116</v>
      </c>
      <c r="D28" s="17" t="s">
        <v>54</v>
      </c>
      <c r="E28" s="15">
        <v>6392549</v>
      </c>
      <c r="F28" s="7" t="s">
        <v>54</v>
      </c>
      <c r="G28" s="8" t="s">
        <v>1117</v>
      </c>
      <c r="H28" s="3"/>
      <c r="I28" s="3"/>
      <c r="J28" s="3"/>
    </row>
    <row r="29" spans="1:10">
      <c r="A29" s="12">
        <v>942720006</v>
      </c>
      <c r="B29" s="12">
        <v>2</v>
      </c>
      <c r="C29" s="12" t="s">
        <v>1118</v>
      </c>
      <c r="D29" s="17" t="s">
        <v>54</v>
      </c>
      <c r="E29" s="15">
        <v>6392547</v>
      </c>
      <c r="F29" s="7" t="s">
        <v>54</v>
      </c>
      <c r="G29" s="8" t="s">
        <v>1119</v>
      </c>
      <c r="H29" s="3"/>
      <c r="I29" s="3"/>
      <c r="J29" s="3"/>
    </row>
    <row r="30" spans="1:10">
      <c r="A30" s="12">
        <v>942720012</v>
      </c>
      <c r="B30" s="12">
        <v>2</v>
      </c>
      <c r="C30" s="12" t="s">
        <v>1120</v>
      </c>
      <c r="D30" s="17" t="s">
        <v>54</v>
      </c>
      <c r="E30" s="15">
        <v>6392081</v>
      </c>
      <c r="F30" s="7" t="s">
        <v>54</v>
      </c>
      <c r="G30" s="8" t="s">
        <v>1121</v>
      </c>
      <c r="H30" s="3"/>
      <c r="I30" s="3"/>
      <c r="J30" s="3"/>
    </row>
    <row r="31" spans="1:10">
      <c r="A31" s="12">
        <v>942720014</v>
      </c>
      <c r="B31" s="12">
        <v>1</v>
      </c>
      <c r="C31" s="12" t="s">
        <v>1122</v>
      </c>
      <c r="D31" s="17" t="s">
        <v>54</v>
      </c>
      <c r="E31" s="15">
        <v>6392083</v>
      </c>
      <c r="F31" s="7" t="s">
        <v>54</v>
      </c>
      <c r="G31" s="8" t="s">
        <v>1123</v>
      </c>
      <c r="H31" s="3"/>
      <c r="I31" s="3"/>
      <c r="J31" s="3"/>
    </row>
    <row r="32" spans="1:10">
      <c r="A32" s="12">
        <v>942720015</v>
      </c>
      <c r="B32" s="12">
        <v>1</v>
      </c>
      <c r="C32" s="12" t="s">
        <v>1124</v>
      </c>
      <c r="D32" s="17" t="s">
        <v>54</v>
      </c>
      <c r="E32" s="15">
        <v>6392084</v>
      </c>
      <c r="F32" s="7" t="s">
        <v>54</v>
      </c>
      <c r="G32" s="8" t="s">
        <v>1125</v>
      </c>
      <c r="H32" s="3"/>
      <c r="I32" s="3"/>
      <c r="J32" s="3"/>
    </row>
    <row r="33" spans="1:10">
      <c r="A33" s="12"/>
      <c r="B33" s="12">
        <v>1</v>
      </c>
      <c r="C33" s="12" t="s">
        <v>1126</v>
      </c>
      <c r="D33" s="17" t="s">
        <v>54</v>
      </c>
      <c r="E33" s="15">
        <v>586453</v>
      </c>
      <c r="F33" s="7" t="s">
        <v>54</v>
      </c>
      <c r="G33" s="8" t="s">
        <v>1127</v>
      </c>
      <c r="H33" s="3"/>
      <c r="I33" s="3"/>
      <c r="J33" s="3"/>
    </row>
    <row r="34" spans="1:10">
      <c r="A34" s="3">
        <v>970700001</v>
      </c>
      <c r="B34" s="3">
        <v>1</v>
      </c>
      <c r="C34" s="3" t="s">
        <v>1128</v>
      </c>
      <c r="D34" s="7" t="s">
        <v>54</v>
      </c>
      <c r="E34" s="8">
        <v>565155</v>
      </c>
      <c r="F34" s="7" t="s">
        <v>59</v>
      </c>
      <c r="G34" s="8" t="s">
        <v>1129</v>
      </c>
      <c r="H34" s="3"/>
      <c r="I34" s="3"/>
      <c r="J34" s="3"/>
    </row>
    <row r="35" spans="1:10">
      <c r="A35" s="3"/>
      <c r="B35" s="3">
        <v>1</v>
      </c>
      <c r="C35" s="3" t="s">
        <v>1130</v>
      </c>
      <c r="D35" s="7" t="s">
        <v>54</v>
      </c>
      <c r="E35" s="8">
        <v>92585</v>
      </c>
      <c r="F35" s="7" t="s">
        <v>59</v>
      </c>
      <c r="G35" s="8" t="s">
        <v>1131</v>
      </c>
      <c r="H35" s="3"/>
      <c r="I35" s="3"/>
      <c r="J35" s="3"/>
    </row>
    <row r="36" spans="1:10">
      <c r="A36" s="3"/>
      <c r="B36" s="3">
        <v>4</v>
      </c>
      <c r="C36" s="3" t="s">
        <v>1132</v>
      </c>
      <c r="D36" s="7" t="s">
        <v>54</v>
      </c>
      <c r="E36" s="8">
        <v>548567</v>
      </c>
      <c r="F36" s="7" t="s">
        <v>59</v>
      </c>
      <c r="G36" s="8" t="s">
        <v>418</v>
      </c>
      <c r="H36" s="3"/>
      <c r="I36" s="3"/>
      <c r="J36" s="3"/>
    </row>
    <row r="37" spans="1:10">
      <c r="A37" s="3"/>
      <c r="B37" s="3">
        <v>1</v>
      </c>
      <c r="C37" s="3" t="s">
        <v>1133</v>
      </c>
      <c r="D37" s="7" t="s">
        <v>54</v>
      </c>
      <c r="E37" s="8" t="s">
        <v>1134</v>
      </c>
      <c r="F37" s="3" t="s">
        <v>59</v>
      </c>
      <c r="G37" s="8" t="s">
        <v>1134</v>
      </c>
      <c r="H37" s="3"/>
      <c r="I37" s="3"/>
      <c r="J37" s="3"/>
    </row>
    <row r="38" spans="1:10">
      <c r="A38" s="3">
        <v>824550543</v>
      </c>
      <c r="B38" s="3">
        <v>1</v>
      </c>
      <c r="C38" s="3" t="s">
        <v>1135</v>
      </c>
      <c r="D38" s="7" t="s">
        <v>54</v>
      </c>
      <c r="E38" s="8">
        <v>556632</v>
      </c>
      <c r="F38" s="3" t="s">
        <v>54</v>
      </c>
      <c r="G38" s="8" t="s">
        <v>706</v>
      </c>
      <c r="H38" s="3"/>
      <c r="I38" s="3"/>
      <c r="J38" s="3"/>
    </row>
    <row r="39" spans="1:10">
      <c r="A39" s="3"/>
      <c r="B39" s="3">
        <v>1</v>
      </c>
      <c r="C39" s="3" t="s">
        <v>1136</v>
      </c>
      <c r="D39" s="7" t="s">
        <v>54</v>
      </c>
      <c r="E39" s="8" t="s">
        <v>1137</v>
      </c>
      <c r="F39" s="3" t="s">
        <v>59</v>
      </c>
      <c r="G39" s="8" t="s">
        <v>1137</v>
      </c>
      <c r="H39" s="3"/>
      <c r="I39" s="3"/>
      <c r="J39" s="3"/>
    </row>
    <row r="40" spans="1:10">
      <c r="A40" s="3">
        <v>824700031</v>
      </c>
      <c r="B40" s="3">
        <v>1</v>
      </c>
      <c r="C40" s="3" t="s">
        <v>1138</v>
      </c>
      <c r="D40" s="7" t="s">
        <v>54</v>
      </c>
      <c r="E40" s="8">
        <v>717968</v>
      </c>
      <c r="F40" s="7" t="s">
        <v>1139</v>
      </c>
      <c r="G40" s="13" t="s">
        <v>1140</v>
      </c>
      <c r="H40" s="3"/>
      <c r="I40" s="3"/>
      <c r="J40" s="3"/>
    </row>
    <row r="41" spans="1:10">
      <c r="A41" s="3">
        <v>972552093</v>
      </c>
      <c r="B41" s="3">
        <v>1</v>
      </c>
      <c r="C41" s="3" t="s">
        <v>1141</v>
      </c>
      <c r="D41" s="7" t="s">
        <v>54</v>
      </c>
      <c r="E41" s="8" t="s">
        <v>1142</v>
      </c>
      <c r="F41" s="3" t="s">
        <v>59</v>
      </c>
      <c r="G41" s="8" t="s">
        <v>1142</v>
      </c>
      <c r="H41" s="3"/>
      <c r="I41" s="3"/>
      <c r="J41" s="3"/>
    </row>
    <row r="42" spans="1:10" ht="15" customHeight="1">
      <c r="A42" s="3">
        <v>820720021</v>
      </c>
      <c r="B42" s="3">
        <v>1</v>
      </c>
      <c r="C42" s="3" t="s">
        <v>1143</v>
      </c>
      <c r="D42" s="7" t="s">
        <v>54</v>
      </c>
      <c r="E42" s="8">
        <v>563108</v>
      </c>
      <c r="F42" s="3" t="s">
        <v>54</v>
      </c>
      <c r="G42" s="8" t="s">
        <v>1144</v>
      </c>
      <c r="H42" s="3"/>
      <c r="I42" s="3"/>
      <c r="J42" s="3"/>
    </row>
    <row r="43" spans="1:10">
      <c r="A43" s="3"/>
      <c r="B43" s="3">
        <v>2</v>
      </c>
      <c r="C43" s="3" t="s">
        <v>1145</v>
      </c>
      <c r="D43" s="7" t="s">
        <v>54</v>
      </c>
      <c r="E43" s="8" t="s">
        <v>1146</v>
      </c>
      <c r="F43" s="3" t="s">
        <v>267</v>
      </c>
      <c r="G43" s="8" t="s">
        <v>1147</v>
      </c>
      <c r="H43" s="3"/>
      <c r="I43" s="3"/>
      <c r="J43" s="3"/>
    </row>
    <row r="44" spans="1:10" ht="36.75" customHeight="1">
      <c r="A44" s="83" t="s">
        <v>96</v>
      </c>
      <c r="B44" s="83"/>
      <c r="C44" s="83"/>
      <c r="D44" s="83"/>
      <c r="E44" s="83"/>
      <c r="F44" s="83"/>
      <c r="G44" s="83"/>
      <c r="H44" s="83"/>
      <c r="I44" s="83"/>
      <c r="J44" s="83"/>
    </row>
  </sheetData>
  <mergeCells count="10">
    <mergeCell ref="A44:J44"/>
    <mergeCell ref="A1:G1"/>
    <mergeCell ref="H1:J1"/>
    <mergeCell ref="A2:A3"/>
    <mergeCell ref="B2:B3"/>
    <mergeCell ref="C2:C3"/>
    <mergeCell ref="D2:E2"/>
    <mergeCell ref="F2:G2"/>
    <mergeCell ref="H2:H3"/>
    <mergeCell ref="I2:J2"/>
  </mergeCells>
  <pageMargins left="0.7" right="0.7" top="0.75" bottom="0.75" header="0.3" footer="0.3"/>
  <pageSetup scale="68" fitToHeight="0" orientation="landscape" r:id="rId1"/>
  <headerFooter>
    <oddHeader>&amp;C&amp;"-,Bold"MIDLIFE OVERHAUL 2015-16 NEW FLYER XN40 (SR1947: 2830-2993)</oddHeader>
    <oddFooter>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CA4BA-BC48-4EA4-9C67-F2368977159B}">
  <sheetPr>
    <pageSetUpPr fitToPage="1"/>
  </sheetPr>
  <dimension ref="A1:J26"/>
  <sheetViews>
    <sheetView view="pageLayout" zoomScaleNormal="100" workbookViewId="0">
      <selection activeCell="F22" sqref="F22"/>
    </sheetView>
  </sheetViews>
  <sheetFormatPr defaultRowHeight="14.45"/>
  <cols>
    <col min="1" max="1" width="11.85546875" customWidth="1"/>
    <col min="2" max="2" width="4.28515625" bestFit="1" customWidth="1"/>
    <col min="3" max="3" width="38.28515625" bestFit="1" customWidth="1"/>
    <col min="4" max="4" width="20.42578125" customWidth="1"/>
    <col min="5" max="5" width="15.7109375" customWidth="1"/>
    <col min="6" max="6" width="24.140625" customWidth="1"/>
    <col min="7" max="7" width="16.42578125" customWidth="1"/>
    <col min="8" max="8" width="12.140625" customWidth="1"/>
    <col min="9" max="9" width="12.28515625" customWidth="1"/>
    <col min="10" max="10" width="11.42578125" customWidth="1"/>
  </cols>
  <sheetData>
    <row r="1" spans="1:10" ht="15" customHeight="1">
      <c r="A1" s="76" t="s">
        <v>1148</v>
      </c>
      <c r="B1" s="77"/>
      <c r="C1" s="77"/>
      <c r="D1" s="77"/>
      <c r="E1" s="77"/>
      <c r="F1" s="77"/>
      <c r="G1" s="78"/>
      <c r="H1" s="82" t="s">
        <v>41</v>
      </c>
      <c r="I1" s="73"/>
      <c r="J1" s="74"/>
    </row>
    <row r="2" spans="1:10">
      <c r="A2" s="72" t="s">
        <v>98</v>
      </c>
      <c r="B2" s="72" t="s">
        <v>43</v>
      </c>
      <c r="C2" s="72" t="s">
        <v>44</v>
      </c>
      <c r="D2" s="72" t="s">
        <v>45</v>
      </c>
      <c r="E2" s="72"/>
      <c r="F2" s="73" t="s">
        <v>46</v>
      </c>
      <c r="G2" s="74"/>
      <c r="H2" s="72" t="s">
        <v>47</v>
      </c>
      <c r="I2" s="75" t="s">
        <v>48</v>
      </c>
      <c r="J2" s="75"/>
    </row>
    <row r="3" spans="1:10">
      <c r="A3" s="72"/>
      <c r="B3" s="72"/>
      <c r="C3" s="72"/>
      <c r="D3" s="1" t="s">
        <v>49</v>
      </c>
      <c r="E3" s="1" t="s">
        <v>50</v>
      </c>
      <c r="F3" s="1" t="s">
        <v>49</v>
      </c>
      <c r="G3" s="1" t="s">
        <v>50</v>
      </c>
      <c r="H3" s="72"/>
      <c r="I3" s="2" t="s">
        <v>51</v>
      </c>
      <c r="J3" s="2" t="s">
        <v>52</v>
      </c>
    </row>
    <row r="4" spans="1:10">
      <c r="A4" s="8">
        <v>921720040</v>
      </c>
      <c r="B4" s="3">
        <v>1</v>
      </c>
      <c r="C4" s="3" t="s">
        <v>1149</v>
      </c>
      <c r="D4" s="3" t="s">
        <v>520</v>
      </c>
      <c r="E4" s="26">
        <v>502466</v>
      </c>
      <c r="F4" s="7" t="s">
        <v>289</v>
      </c>
      <c r="G4" s="27" t="s">
        <v>1150</v>
      </c>
      <c r="H4" s="3"/>
      <c r="I4" s="3"/>
      <c r="J4" s="3"/>
    </row>
    <row r="5" spans="1:10">
      <c r="A5" s="8">
        <v>921720041</v>
      </c>
      <c r="B5" s="3">
        <v>1</v>
      </c>
      <c r="C5" s="3" t="s">
        <v>1151</v>
      </c>
      <c r="D5" s="3" t="s">
        <v>520</v>
      </c>
      <c r="E5" s="28">
        <v>502467</v>
      </c>
      <c r="F5" s="29" t="s">
        <v>289</v>
      </c>
      <c r="G5" s="30" t="s">
        <v>1152</v>
      </c>
      <c r="H5" s="31"/>
      <c r="I5" s="3"/>
      <c r="J5" s="3"/>
    </row>
    <row r="6" spans="1:10">
      <c r="A6" s="8">
        <v>822720081</v>
      </c>
      <c r="B6" s="3">
        <v>1</v>
      </c>
      <c r="C6" s="3" t="s">
        <v>1153</v>
      </c>
      <c r="D6" s="3" t="s">
        <v>520</v>
      </c>
      <c r="E6" s="32">
        <v>590112</v>
      </c>
      <c r="F6" s="3" t="s">
        <v>1154</v>
      </c>
      <c r="G6" s="32" t="s">
        <v>1155</v>
      </c>
      <c r="H6" s="3"/>
      <c r="I6" s="3"/>
      <c r="J6" s="3"/>
    </row>
    <row r="7" spans="1:10">
      <c r="A7" s="8">
        <v>824550548</v>
      </c>
      <c r="B7" s="3">
        <v>3</v>
      </c>
      <c r="C7" s="3" t="s">
        <v>1156</v>
      </c>
      <c r="D7" s="3" t="s">
        <v>520</v>
      </c>
      <c r="E7" s="8">
        <v>109485</v>
      </c>
      <c r="F7" s="3" t="s">
        <v>267</v>
      </c>
      <c r="G7" s="8" t="s">
        <v>575</v>
      </c>
      <c r="H7" s="3"/>
      <c r="I7" s="3"/>
      <c r="J7" s="3"/>
    </row>
    <row r="8" spans="1:10">
      <c r="A8" s="8">
        <v>824550547</v>
      </c>
      <c r="B8" s="3">
        <v>1</v>
      </c>
      <c r="C8" s="3" t="s">
        <v>1157</v>
      </c>
      <c r="D8" s="3" t="s">
        <v>520</v>
      </c>
      <c r="E8" s="8">
        <v>216632</v>
      </c>
      <c r="F8" s="3" t="s">
        <v>267</v>
      </c>
      <c r="G8" s="8" t="s">
        <v>1158</v>
      </c>
      <c r="H8" s="3"/>
      <c r="I8" s="3"/>
      <c r="J8" s="3"/>
    </row>
    <row r="9" spans="1:10">
      <c r="A9" s="8">
        <v>971720541</v>
      </c>
      <c r="B9" s="3">
        <v>1</v>
      </c>
      <c r="C9" s="3" t="s">
        <v>1159</v>
      </c>
      <c r="D9" s="3" t="s">
        <v>520</v>
      </c>
      <c r="E9" s="8">
        <v>460722</v>
      </c>
      <c r="F9" s="3" t="s">
        <v>1160</v>
      </c>
      <c r="G9" s="8" t="s">
        <v>1161</v>
      </c>
      <c r="H9" s="3"/>
      <c r="I9" s="3"/>
      <c r="J9" s="3"/>
    </row>
    <row r="10" spans="1:10">
      <c r="A10" s="8">
        <v>824550786</v>
      </c>
      <c r="B10" s="3">
        <v>1</v>
      </c>
      <c r="C10" s="3" t="s">
        <v>1162</v>
      </c>
      <c r="D10" s="3" t="s">
        <v>520</v>
      </c>
      <c r="E10" s="8">
        <v>5952468</v>
      </c>
      <c r="F10" s="3" t="s">
        <v>270</v>
      </c>
      <c r="G10" s="8" t="s">
        <v>1163</v>
      </c>
      <c r="H10" s="3"/>
      <c r="I10" s="3"/>
      <c r="J10" s="3"/>
    </row>
    <row r="11" spans="1:10">
      <c r="A11" s="8">
        <v>824550522</v>
      </c>
      <c r="B11" s="3">
        <v>1</v>
      </c>
      <c r="C11" s="3" t="s">
        <v>1164</v>
      </c>
      <c r="D11" s="3" t="s">
        <v>520</v>
      </c>
      <c r="E11" s="8">
        <v>521968</v>
      </c>
      <c r="F11" s="3" t="s">
        <v>267</v>
      </c>
      <c r="G11" s="8" t="s">
        <v>1165</v>
      </c>
      <c r="H11" s="3"/>
      <c r="I11" s="3"/>
      <c r="J11" s="3"/>
    </row>
    <row r="12" spans="1:10">
      <c r="A12" s="8"/>
      <c r="B12" s="3">
        <v>2</v>
      </c>
      <c r="C12" s="3" t="s">
        <v>1145</v>
      </c>
      <c r="D12" s="3" t="s">
        <v>520</v>
      </c>
      <c r="E12" s="8" t="s">
        <v>1146</v>
      </c>
      <c r="F12" s="3" t="s">
        <v>267</v>
      </c>
      <c r="G12" s="8" t="s">
        <v>1147</v>
      </c>
      <c r="H12" s="3"/>
      <c r="I12" s="3"/>
      <c r="J12" s="3"/>
    </row>
    <row r="13" spans="1:10">
      <c r="A13" s="8">
        <v>954720001</v>
      </c>
      <c r="B13" s="3">
        <v>1</v>
      </c>
      <c r="C13" s="3" t="s">
        <v>1166</v>
      </c>
      <c r="D13" s="3" t="s">
        <v>520</v>
      </c>
      <c r="E13" s="8">
        <v>5956172</v>
      </c>
      <c r="F13" s="3" t="s">
        <v>267</v>
      </c>
      <c r="G13" s="8" t="s">
        <v>283</v>
      </c>
      <c r="H13" s="3"/>
      <c r="I13" s="3"/>
      <c r="J13" s="3"/>
    </row>
    <row r="14" spans="1:10">
      <c r="A14" s="8"/>
      <c r="B14" s="3">
        <v>1</v>
      </c>
      <c r="C14" s="3" t="s">
        <v>1167</v>
      </c>
      <c r="D14" s="3" t="s">
        <v>520</v>
      </c>
      <c r="E14" s="8" t="s">
        <v>1168</v>
      </c>
      <c r="F14" s="3" t="s">
        <v>960</v>
      </c>
      <c r="G14" s="8" t="s">
        <v>1169</v>
      </c>
      <c r="H14" s="3"/>
      <c r="I14" s="3"/>
      <c r="J14" s="3"/>
    </row>
    <row r="15" spans="1:10">
      <c r="A15" s="8"/>
      <c r="B15" s="3">
        <v>1</v>
      </c>
      <c r="C15" s="3" t="s">
        <v>1170</v>
      </c>
      <c r="D15" s="3" t="s">
        <v>520</v>
      </c>
      <c r="E15" s="8" t="s">
        <v>1171</v>
      </c>
      <c r="F15" s="3" t="s">
        <v>960</v>
      </c>
      <c r="G15" s="8" t="s">
        <v>1172</v>
      </c>
      <c r="H15" s="3"/>
      <c r="I15" s="3"/>
      <c r="J15" s="3"/>
    </row>
    <row r="16" spans="1:10">
      <c r="A16" s="8"/>
      <c r="B16" s="3">
        <v>2</v>
      </c>
      <c r="C16" s="3" t="s">
        <v>1173</v>
      </c>
      <c r="D16" s="3" t="s">
        <v>520</v>
      </c>
      <c r="E16" s="8" t="s">
        <v>1174</v>
      </c>
      <c r="F16" s="3" t="s">
        <v>960</v>
      </c>
      <c r="G16" s="8" t="s">
        <v>1175</v>
      </c>
      <c r="H16" s="3"/>
      <c r="I16" s="3"/>
      <c r="J16" s="3"/>
    </row>
    <row r="17" spans="1:10">
      <c r="A17" s="8"/>
      <c r="B17" s="3">
        <v>2</v>
      </c>
      <c r="C17" s="3" t="s">
        <v>1176</v>
      </c>
      <c r="D17" s="3" t="s">
        <v>520</v>
      </c>
      <c r="E17" s="8" t="s">
        <v>1177</v>
      </c>
      <c r="F17" s="3" t="s">
        <v>960</v>
      </c>
      <c r="G17" s="8" t="s">
        <v>1178</v>
      </c>
      <c r="H17" s="3"/>
      <c r="I17" s="3"/>
      <c r="J17" s="3"/>
    </row>
    <row r="18" spans="1:10">
      <c r="A18" s="8"/>
      <c r="B18" s="3">
        <v>2</v>
      </c>
      <c r="C18" s="3" t="s">
        <v>1179</v>
      </c>
      <c r="D18" s="3" t="s">
        <v>520</v>
      </c>
      <c r="E18" s="8" t="s">
        <v>1180</v>
      </c>
      <c r="F18" s="3" t="s">
        <v>960</v>
      </c>
      <c r="G18" s="8" t="s">
        <v>1181</v>
      </c>
      <c r="H18" s="3"/>
      <c r="I18" s="3"/>
      <c r="J18" s="3"/>
    </row>
    <row r="19" spans="1:10">
      <c r="A19" s="8">
        <v>800700001</v>
      </c>
      <c r="B19" s="3">
        <v>1</v>
      </c>
      <c r="C19" s="3" t="s">
        <v>1182</v>
      </c>
      <c r="D19" s="3" t="s">
        <v>520</v>
      </c>
      <c r="E19" s="8">
        <v>6459445</v>
      </c>
      <c r="F19" s="3" t="s">
        <v>474</v>
      </c>
      <c r="G19" s="8">
        <v>5333477</v>
      </c>
      <c r="H19" s="3"/>
      <c r="I19" s="3"/>
      <c r="J19" s="3"/>
    </row>
    <row r="20" spans="1:10">
      <c r="A20" s="8">
        <v>997700021</v>
      </c>
      <c r="B20" s="3">
        <v>1</v>
      </c>
      <c r="C20" s="3" t="s">
        <v>1183</v>
      </c>
      <c r="D20" s="3" t="s">
        <v>520</v>
      </c>
      <c r="E20" s="8">
        <v>6331168</v>
      </c>
      <c r="F20" s="3" t="s">
        <v>474</v>
      </c>
      <c r="G20" s="8" t="s">
        <v>1184</v>
      </c>
      <c r="H20" s="3"/>
      <c r="I20" s="3"/>
      <c r="J20" s="3"/>
    </row>
    <row r="21" spans="1:10">
      <c r="A21" s="8">
        <v>821700003</v>
      </c>
      <c r="B21" s="3">
        <v>1</v>
      </c>
      <c r="C21" s="3" t="s">
        <v>1185</v>
      </c>
      <c r="D21" s="3" t="s">
        <v>520</v>
      </c>
      <c r="E21" s="8">
        <v>6360256</v>
      </c>
      <c r="F21" s="3" t="s">
        <v>474</v>
      </c>
      <c r="G21" s="8" t="s">
        <v>1186</v>
      </c>
      <c r="H21" s="3"/>
      <c r="I21" s="3"/>
      <c r="J21" s="3"/>
    </row>
    <row r="22" spans="1:10">
      <c r="A22" s="8"/>
      <c r="B22" s="3">
        <v>1</v>
      </c>
      <c r="C22" s="3" t="s">
        <v>1179</v>
      </c>
      <c r="D22" s="3" t="s">
        <v>520</v>
      </c>
      <c r="E22" s="8">
        <v>6356987</v>
      </c>
      <c r="F22" s="3" t="s">
        <v>474</v>
      </c>
      <c r="G22" s="8" t="s">
        <v>1187</v>
      </c>
      <c r="H22" s="3"/>
      <c r="I22" s="3"/>
      <c r="J22" s="3"/>
    </row>
    <row r="23" spans="1:10">
      <c r="A23" s="8"/>
      <c r="B23" s="3">
        <v>1</v>
      </c>
      <c r="C23" s="3" t="s">
        <v>1188</v>
      </c>
      <c r="D23" s="3" t="s">
        <v>520</v>
      </c>
      <c r="E23" s="8">
        <v>6356988</v>
      </c>
      <c r="F23" s="3" t="s">
        <v>474</v>
      </c>
      <c r="G23" s="8" t="s">
        <v>1189</v>
      </c>
      <c r="H23" s="3"/>
      <c r="I23" s="3"/>
      <c r="J23" s="3"/>
    </row>
    <row r="24" spans="1:10">
      <c r="A24" s="8">
        <v>821700004</v>
      </c>
      <c r="B24" s="3">
        <v>1</v>
      </c>
      <c r="C24" s="3" t="s">
        <v>1190</v>
      </c>
      <c r="D24" s="3" t="s">
        <v>520</v>
      </c>
      <c r="E24" s="8">
        <v>6356989</v>
      </c>
      <c r="F24" s="3" t="s">
        <v>474</v>
      </c>
      <c r="G24" s="8" t="s">
        <v>1191</v>
      </c>
      <c r="H24" s="3"/>
      <c r="I24" s="3"/>
      <c r="J24" s="3"/>
    </row>
    <row r="25" spans="1:10">
      <c r="A25" s="8">
        <v>971710005</v>
      </c>
      <c r="B25" s="3">
        <v>1</v>
      </c>
      <c r="C25" s="3" t="s">
        <v>1192</v>
      </c>
      <c r="D25" s="3" t="s">
        <v>520</v>
      </c>
      <c r="E25" s="8">
        <v>6336309</v>
      </c>
      <c r="F25" s="3" t="s">
        <v>874</v>
      </c>
      <c r="G25" s="8" t="s">
        <v>1193</v>
      </c>
      <c r="H25" s="3"/>
      <c r="I25" s="3"/>
      <c r="J25" s="3"/>
    </row>
    <row r="26" spans="1:10" ht="28.5" customHeight="1">
      <c r="A26" s="83" t="s">
        <v>96</v>
      </c>
      <c r="B26" s="83"/>
      <c r="C26" s="83"/>
      <c r="D26" s="83"/>
      <c r="E26" s="83"/>
      <c r="F26" s="83"/>
      <c r="G26" s="83"/>
      <c r="H26" s="83"/>
      <c r="I26" s="83"/>
      <c r="J26" s="83"/>
    </row>
  </sheetData>
  <mergeCells count="10">
    <mergeCell ref="A26:J26"/>
    <mergeCell ref="A1:G1"/>
    <mergeCell ref="H1:J1"/>
    <mergeCell ref="A2:A3"/>
    <mergeCell ref="B2:B3"/>
    <mergeCell ref="C2:C3"/>
    <mergeCell ref="D2:E2"/>
    <mergeCell ref="F2:G2"/>
    <mergeCell ref="H2:H3"/>
    <mergeCell ref="I2:J2"/>
  </mergeCells>
  <pageMargins left="0.7" right="0.7" top="0.75" bottom="0.75" header="0.3" footer="0.3"/>
  <pageSetup scale="73" fitToHeight="0" orientation="landscape" r:id="rId1"/>
  <headerFooter>
    <oddHeader>&amp;C&amp;"-,Bold"MIDLIFE OVERHAUL 2015-16 NEW FLYER XN40 (2830-2993)</oddHeader>
    <oddFooter>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78F76-A9D9-4FA8-8F9F-A5D8B0D94DBA}">
  <sheetPr>
    <pageSetUpPr fitToPage="1"/>
  </sheetPr>
  <dimension ref="A1:H42"/>
  <sheetViews>
    <sheetView view="pageLayout" zoomScaleNormal="100" workbookViewId="0">
      <selection activeCell="H27" sqref="H27"/>
    </sheetView>
  </sheetViews>
  <sheetFormatPr defaultRowHeight="14.45"/>
  <cols>
    <col min="1" max="1" width="10.85546875" customWidth="1"/>
    <col min="2" max="2" width="4.28515625" bestFit="1" customWidth="1"/>
    <col min="3" max="3" width="37.7109375" customWidth="1"/>
    <col min="4" max="4" width="11.28515625" bestFit="1" customWidth="1"/>
    <col min="5" max="5" width="18.28515625" bestFit="1" customWidth="1"/>
    <col min="6" max="6" width="12.7109375" customWidth="1"/>
    <col min="7" max="7" width="13.28515625" customWidth="1"/>
    <col min="8" max="8" width="13.85546875" customWidth="1"/>
  </cols>
  <sheetData>
    <row r="1" spans="1:8" ht="15" customHeight="1">
      <c r="A1" s="76" t="s">
        <v>1194</v>
      </c>
      <c r="B1" s="77"/>
      <c r="C1" s="77"/>
      <c r="D1" s="77"/>
      <c r="E1" s="78"/>
      <c r="F1" s="82" t="s">
        <v>41</v>
      </c>
      <c r="G1" s="73"/>
      <c r="H1" s="74"/>
    </row>
    <row r="2" spans="1:8">
      <c r="A2" s="72" t="s">
        <v>98</v>
      </c>
      <c r="B2" s="72" t="s">
        <v>43</v>
      </c>
      <c r="C2" s="72" t="s">
        <v>44</v>
      </c>
      <c r="D2" s="82" t="s">
        <v>45</v>
      </c>
      <c r="E2" s="74"/>
      <c r="F2" s="72" t="s">
        <v>47</v>
      </c>
      <c r="G2" s="75" t="s">
        <v>48</v>
      </c>
      <c r="H2" s="75"/>
    </row>
    <row r="3" spans="1:8">
      <c r="A3" s="72"/>
      <c r="B3" s="72"/>
      <c r="C3" s="72"/>
      <c r="D3" s="1" t="s">
        <v>49</v>
      </c>
      <c r="E3" s="1" t="s">
        <v>50</v>
      </c>
      <c r="F3" s="72"/>
      <c r="G3" s="2" t="s">
        <v>51</v>
      </c>
      <c r="H3" s="2" t="s">
        <v>52</v>
      </c>
    </row>
    <row r="4" spans="1:8">
      <c r="A4" s="8">
        <v>832660001</v>
      </c>
      <c r="B4" s="3">
        <v>6</v>
      </c>
      <c r="C4" s="3" t="s">
        <v>1195</v>
      </c>
      <c r="D4" s="3" t="s">
        <v>474</v>
      </c>
      <c r="E4" s="8">
        <v>5310990</v>
      </c>
      <c r="F4" s="3"/>
      <c r="G4" s="3"/>
      <c r="H4" s="3"/>
    </row>
    <row r="5" spans="1:8">
      <c r="A5" s="8">
        <v>881700041</v>
      </c>
      <c r="B5" s="3">
        <v>1</v>
      </c>
      <c r="C5" s="3" t="s">
        <v>1196</v>
      </c>
      <c r="D5" s="3" t="s">
        <v>474</v>
      </c>
      <c r="E5" s="8">
        <v>5320969</v>
      </c>
      <c r="F5" s="3"/>
      <c r="G5" s="3"/>
      <c r="H5" s="3"/>
    </row>
    <row r="6" spans="1:8">
      <c r="A6" s="8">
        <v>842720011</v>
      </c>
      <c r="B6" s="3">
        <v>1</v>
      </c>
      <c r="C6" s="3" t="s">
        <v>1197</v>
      </c>
      <c r="D6" s="3" t="s">
        <v>474</v>
      </c>
      <c r="E6" s="8">
        <v>4955484</v>
      </c>
      <c r="F6" s="3"/>
      <c r="G6" s="3"/>
      <c r="H6" s="3"/>
    </row>
    <row r="7" spans="1:8">
      <c r="A7" s="8">
        <v>805720003</v>
      </c>
      <c r="B7" s="3">
        <v>6</v>
      </c>
      <c r="C7" s="3" t="s">
        <v>1198</v>
      </c>
      <c r="D7" s="3" t="s">
        <v>474</v>
      </c>
      <c r="E7" s="8" t="s">
        <v>1199</v>
      </c>
      <c r="F7" s="3"/>
      <c r="G7" s="3"/>
      <c r="H7" s="3"/>
    </row>
    <row r="8" spans="1:8">
      <c r="A8" s="8">
        <v>852720001</v>
      </c>
      <c r="B8" s="3">
        <v>1</v>
      </c>
      <c r="C8" s="3" t="s">
        <v>1200</v>
      </c>
      <c r="D8" s="3" t="s">
        <v>474</v>
      </c>
      <c r="E8" s="8">
        <v>4983588</v>
      </c>
      <c r="F8" s="3"/>
      <c r="G8" s="3"/>
      <c r="H8" s="3"/>
    </row>
    <row r="9" spans="1:8">
      <c r="A9" s="8">
        <v>802550081</v>
      </c>
      <c r="B9" s="3">
        <v>6</v>
      </c>
      <c r="C9" s="3" t="s">
        <v>1201</v>
      </c>
      <c r="D9" s="3" t="s">
        <v>474</v>
      </c>
      <c r="E9" s="8">
        <v>3678923</v>
      </c>
      <c r="F9" s="3"/>
      <c r="G9" s="3"/>
      <c r="H9" s="3"/>
    </row>
    <row r="10" spans="1:8">
      <c r="A10" s="8">
        <v>803550030</v>
      </c>
      <c r="B10" s="3">
        <v>1</v>
      </c>
      <c r="C10" s="3" t="s">
        <v>1202</v>
      </c>
      <c r="D10" s="3" t="s">
        <v>474</v>
      </c>
      <c r="E10" s="8">
        <v>3945917</v>
      </c>
      <c r="F10" s="3"/>
      <c r="G10" s="3"/>
      <c r="H10" s="3"/>
    </row>
    <row r="11" spans="1:8">
      <c r="A11" s="8">
        <v>802660002</v>
      </c>
      <c r="B11" s="3">
        <v>1</v>
      </c>
      <c r="C11" s="3" t="s">
        <v>1203</v>
      </c>
      <c r="D11" s="3" t="s">
        <v>474</v>
      </c>
      <c r="E11" s="8">
        <v>4376312</v>
      </c>
      <c r="F11" s="3"/>
      <c r="G11" s="3"/>
      <c r="H11" s="3"/>
    </row>
    <row r="12" spans="1:8">
      <c r="A12" s="8">
        <v>822720561</v>
      </c>
      <c r="B12" s="3">
        <v>1</v>
      </c>
      <c r="C12" s="3" t="s">
        <v>1204</v>
      </c>
      <c r="D12" s="3" t="s">
        <v>474</v>
      </c>
      <c r="E12" s="8" t="s">
        <v>1205</v>
      </c>
      <c r="F12" s="3"/>
      <c r="G12" s="3"/>
      <c r="H12" s="3"/>
    </row>
    <row r="13" spans="1:8">
      <c r="A13" s="8">
        <v>803550032</v>
      </c>
      <c r="B13" s="3">
        <v>1</v>
      </c>
      <c r="C13" s="3" t="s">
        <v>1206</v>
      </c>
      <c r="D13" s="3" t="s">
        <v>474</v>
      </c>
      <c r="E13" s="8">
        <v>3967014</v>
      </c>
      <c r="F13" s="3"/>
      <c r="G13" s="3"/>
      <c r="H13" s="3"/>
    </row>
    <row r="14" spans="1:8">
      <c r="A14" s="8">
        <v>823550004</v>
      </c>
      <c r="B14" s="3">
        <v>1</v>
      </c>
      <c r="C14" s="3" t="s">
        <v>1207</v>
      </c>
      <c r="D14" s="3" t="s">
        <v>474</v>
      </c>
      <c r="E14" s="8">
        <v>4309417</v>
      </c>
      <c r="F14" s="3"/>
      <c r="G14" s="3"/>
      <c r="H14" s="3"/>
    </row>
    <row r="15" spans="1:8">
      <c r="A15" s="8">
        <v>822720013</v>
      </c>
      <c r="B15" s="3">
        <v>2</v>
      </c>
      <c r="C15" s="3" t="s">
        <v>1208</v>
      </c>
      <c r="D15" s="3" t="s">
        <v>474</v>
      </c>
      <c r="E15" s="8" t="s">
        <v>1209</v>
      </c>
      <c r="F15" s="3"/>
      <c r="G15" s="3"/>
      <c r="H15" s="3"/>
    </row>
    <row r="16" spans="1:8">
      <c r="A16" s="8">
        <v>803720001</v>
      </c>
      <c r="B16" s="3">
        <v>1</v>
      </c>
      <c r="C16" s="3" t="s">
        <v>1210</v>
      </c>
      <c r="D16" s="3" t="s">
        <v>474</v>
      </c>
      <c r="E16" s="8" t="s">
        <v>1211</v>
      </c>
      <c r="F16" s="3"/>
      <c r="G16" s="3"/>
      <c r="H16" s="3"/>
    </row>
    <row r="17" spans="1:8">
      <c r="A17" s="8">
        <v>882720015</v>
      </c>
      <c r="B17" s="3">
        <v>1</v>
      </c>
      <c r="C17" s="3" t="s">
        <v>1210</v>
      </c>
      <c r="D17" s="3" t="s">
        <v>474</v>
      </c>
      <c r="E17" s="8" t="s">
        <v>1212</v>
      </c>
      <c r="F17" s="3"/>
      <c r="G17" s="3"/>
      <c r="H17" s="3"/>
    </row>
    <row r="18" spans="1:8">
      <c r="A18" s="8">
        <v>832700009</v>
      </c>
      <c r="B18" s="3">
        <v>2</v>
      </c>
      <c r="C18" s="3" t="s">
        <v>1213</v>
      </c>
      <c r="D18" s="3" t="s">
        <v>474</v>
      </c>
      <c r="E18" s="8">
        <v>4921479</v>
      </c>
      <c r="F18" s="3"/>
      <c r="G18" s="3"/>
      <c r="H18" s="3"/>
    </row>
    <row r="19" spans="1:8">
      <c r="A19" s="8">
        <v>820720041</v>
      </c>
      <c r="B19" s="3">
        <v>1</v>
      </c>
      <c r="C19" s="3" t="s">
        <v>1214</v>
      </c>
      <c r="D19" s="3" t="s">
        <v>474</v>
      </c>
      <c r="E19" s="8" t="s">
        <v>1215</v>
      </c>
      <c r="F19" s="3"/>
      <c r="G19" s="3"/>
      <c r="H19" s="3"/>
    </row>
    <row r="20" spans="1:8">
      <c r="A20" s="8">
        <v>882700019</v>
      </c>
      <c r="B20" s="3">
        <v>1</v>
      </c>
      <c r="C20" s="3" t="s">
        <v>1216</v>
      </c>
      <c r="D20" s="3" t="s">
        <v>474</v>
      </c>
      <c r="E20" s="8">
        <v>4921483</v>
      </c>
      <c r="F20" s="3"/>
      <c r="G20" s="3"/>
      <c r="H20" s="3"/>
    </row>
    <row r="21" spans="1:8">
      <c r="A21" s="8">
        <v>832700013</v>
      </c>
      <c r="B21" s="3">
        <v>1</v>
      </c>
      <c r="C21" s="3" t="s">
        <v>1217</v>
      </c>
      <c r="D21" s="3" t="s">
        <v>474</v>
      </c>
      <c r="E21" s="8">
        <v>4921489</v>
      </c>
      <c r="F21" s="3"/>
      <c r="G21" s="3"/>
      <c r="H21" s="3"/>
    </row>
    <row r="22" spans="1:8">
      <c r="A22" s="8">
        <v>835560008</v>
      </c>
      <c r="B22" s="3">
        <v>1</v>
      </c>
      <c r="C22" s="3" t="s">
        <v>1218</v>
      </c>
      <c r="D22" s="3" t="s">
        <v>474</v>
      </c>
      <c r="E22" s="8">
        <v>4921495</v>
      </c>
      <c r="F22" s="3"/>
      <c r="G22" s="3"/>
      <c r="H22" s="3"/>
    </row>
    <row r="23" spans="1:8">
      <c r="A23" s="8">
        <v>832700003</v>
      </c>
      <c r="B23" s="3">
        <v>1</v>
      </c>
      <c r="C23" s="3" t="s">
        <v>1219</v>
      </c>
      <c r="D23" s="3" t="s">
        <v>474</v>
      </c>
      <c r="E23" s="8">
        <v>3931710</v>
      </c>
      <c r="F23" s="3"/>
      <c r="G23" s="3"/>
      <c r="H23" s="3"/>
    </row>
    <row r="24" spans="1:8">
      <c r="A24" s="8">
        <v>832700007</v>
      </c>
      <c r="B24" s="3">
        <v>1</v>
      </c>
      <c r="C24" s="3" t="s">
        <v>1220</v>
      </c>
      <c r="D24" s="3" t="s">
        <v>474</v>
      </c>
      <c r="E24" s="8">
        <v>3933846</v>
      </c>
      <c r="F24" s="3"/>
      <c r="G24" s="3"/>
      <c r="H24" s="3"/>
    </row>
    <row r="25" spans="1:8">
      <c r="A25" s="8">
        <v>842660010</v>
      </c>
      <c r="B25" s="3">
        <v>1</v>
      </c>
      <c r="C25" s="3" t="s">
        <v>1221</v>
      </c>
      <c r="D25" s="3" t="s">
        <v>474</v>
      </c>
      <c r="E25" s="8">
        <v>4984929</v>
      </c>
      <c r="F25" s="3"/>
      <c r="G25" s="3"/>
      <c r="H25" s="3"/>
    </row>
    <row r="26" spans="1:8">
      <c r="A26" s="8">
        <v>842550009</v>
      </c>
      <c r="B26" s="3">
        <v>1</v>
      </c>
      <c r="C26" s="3" t="s">
        <v>1222</v>
      </c>
      <c r="D26" s="3" t="s">
        <v>474</v>
      </c>
      <c r="E26" s="8">
        <v>4088712</v>
      </c>
      <c r="F26" s="3"/>
      <c r="G26" s="3"/>
      <c r="H26" s="3"/>
    </row>
    <row r="27" spans="1:8">
      <c r="A27" s="8">
        <v>832550041</v>
      </c>
      <c r="B27" s="3">
        <v>1</v>
      </c>
      <c r="C27" s="3" t="s">
        <v>1223</v>
      </c>
      <c r="D27" s="3" t="s">
        <v>474</v>
      </c>
      <c r="E27" s="8">
        <v>4934537</v>
      </c>
      <c r="F27" s="3"/>
      <c r="G27" s="3"/>
      <c r="H27" s="3"/>
    </row>
    <row r="28" spans="1:8">
      <c r="A28" s="8">
        <v>832660006</v>
      </c>
      <c r="B28" s="3">
        <v>1</v>
      </c>
      <c r="C28" s="3" t="s">
        <v>1224</v>
      </c>
      <c r="D28" s="3" t="s">
        <v>474</v>
      </c>
      <c r="E28" s="8">
        <v>5305242</v>
      </c>
      <c r="F28" s="3"/>
      <c r="G28" s="3"/>
      <c r="H28" s="3"/>
    </row>
    <row r="29" spans="1:8">
      <c r="A29" s="8">
        <v>842660010</v>
      </c>
      <c r="B29" s="3">
        <v>1</v>
      </c>
      <c r="C29" s="3" t="s">
        <v>1225</v>
      </c>
      <c r="D29" s="3" t="s">
        <v>474</v>
      </c>
      <c r="E29" s="8">
        <v>4984929</v>
      </c>
      <c r="F29" s="3"/>
      <c r="G29" s="3"/>
      <c r="H29" s="3"/>
    </row>
    <row r="30" spans="1:8">
      <c r="A30" s="8">
        <v>853700021</v>
      </c>
      <c r="B30" s="3">
        <v>1</v>
      </c>
      <c r="C30" s="3" t="s">
        <v>1226</v>
      </c>
      <c r="D30" s="3" t="s">
        <v>474</v>
      </c>
      <c r="E30" s="8">
        <v>3957987</v>
      </c>
      <c r="F30" s="3"/>
      <c r="G30" s="3"/>
      <c r="H30" s="3"/>
    </row>
    <row r="31" spans="1:8">
      <c r="A31" s="8">
        <v>853700141</v>
      </c>
      <c r="B31" s="3">
        <v>1</v>
      </c>
      <c r="C31" s="3" t="s">
        <v>1227</v>
      </c>
      <c r="D31" s="3" t="s">
        <v>474</v>
      </c>
      <c r="E31" s="8">
        <v>5256862</v>
      </c>
      <c r="F31" s="3"/>
      <c r="G31" s="3"/>
      <c r="H31" s="3"/>
    </row>
    <row r="32" spans="1:8">
      <c r="A32" s="8">
        <v>881700441</v>
      </c>
      <c r="B32" s="3">
        <v>1</v>
      </c>
      <c r="C32" s="3" t="s">
        <v>1228</v>
      </c>
      <c r="D32" s="3" t="s">
        <v>474</v>
      </c>
      <c r="E32" s="8">
        <v>4326849</v>
      </c>
      <c r="F32" s="3"/>
      <c r="G32" s="3"/>
      <c r="H32" s="3"/>
    </row>
    <row r="33" spans="1:8">
      <c r="A33" s="8">
        <v>806720004</v>
      </c>
      <c r="B33" s="3">
        <v>1</v>
      </c>
      <c r="C33" s="3" t="s">
        <v>1229</v>
      </c>
      <c r="D33" s="3" t="s">
        <v>474</v>
      </c>
      <c r="E33" s="8">
        <v>5633625</v>
      </c>
      <c r="F33" s="3"/>
      <c r="G33" s="3"/>
      <c r="H33" s="3"/>
    </row>
    <row r="34" spans="1:8">
      <c r="A34" s="8">
        <v>808700001</v>
      </c>
      <c r="B34" s="3">
        <v>1</v>
      </c>
      <c r="C34" s="3" t="s">
        <v>1230</v>
      </c>
      <c r="D34" s="3" t="s">
        <v>474</v>
      </c>
      <c r="E34" s="8" t="s">
        <v>1231</v>
      </c>
      <c r="F34" s="3"/>
      <c r="G34" s="3"/>
      <c r="H34" s="3"/>
    </row>
    <row r="35" spans="1:8">
      <c r="A35" s="8"/>
      <c r="B35" s="3">
        <v>6</v>
      </c>
      <c r="C35" s="3" t="s">
        <v>1232</v>
      </c>
      <c r="D35" s="3" t="s">
        <v>474</v>
      </c>
      <c r="E35" s="8">
        <v>3934921</v>
      </c>
      <c r="F35" s="3"/>
      <c r="G35" s="3"/>
      <c r="H35" s="3"/>
    </row>
    <row r="36" spans="1:8">
      <c r="A36" s="8">
        <v>802700061</v>
      </c>
      <c r="B36" s="3">
        <v>1</v>
      </c>
      <c r="C36" s="3" t="s">
        <v>1233</v>
      </c>
      <c r="D36" s="3" t="s">
        <v>474</v>
      </c>
      <c r="E36" s="8">
        <v>5312917</v>
      </c>
      <c r="F36" s="3"/>
      <c r="G36" s="3"/>
      <c r="H36" s="3"/>
    </row>
    <row r="37" spans="1:8">
      <c r="A37" s="8">
        <v>802700006</v>
      </c>
      <c r="B37" s="3">
        <v>1</v>
      </c>
      <c r="C37" s="3" t="s">
        <v>1234</v>
      </c>
      <c r="D37" s="3" t="s">
        <v>474</v>
      </c>
      <c r="E37" s="8">
        <v>4991808</v>
      </c>
      <c r="F37" s="3"/>
      <c r="G37" s="3"/>
      <c r="H37" s="3"/>
    </row>
    <row r="38" spans="1:8">
      <c r="A38" s="8">
        <v>832660005</v>
      </c>
      <c r="B38" s="3">
        <v>1</v>
      </c>
      <c r="C38" s="3" t="s">
        <v>1235</v>
      </c>
      <c r="D38" s="3" t="s">
        <v>474</v>
      </c>
      <c r="E38" s="8" t="s">
        <v>1236</v>
      </c>
      <c r="F38" s="3"/>
      <c r="G38" s="3"/>
      <c r="H38" s="3"/>
    </row>
    <row r="39" spans="1:8">
      <c r="A39" s="8"/>
      <c r="B39" s="3">
        <v>12</v>
      </c>
      <c r="C39" s="3" t="s">
        <v>1237</v>
      </c>
      <c r="D39" s="3" t="s">
        <v>474</v>
      </c>
      <c r="E39" s="8">
        <v>3945866</v>
      </c>
      <c r="F39" s="3"/>
      <c r="G39" s="3"/>
      <c r="H39" s="3"/>
    </row>
    <row r="40" spans="1:8">
      <c r="A40" s="8">
        <v>801720014</v>
      </c>
      <c r="B40" s="3">
        <v>7</v>
      </c>
      <c r="C40" s="3" t="s">
        <v>1238</v>
      </c>
      <c r="D40" s="3" t="s">
        <v>474</v>
      </c>
      <c r="E40" s="8">
        <v>5283368</v>
      </c>
      <c r="F40" s="3"/>
      <c r="G40" s="3"/>
      <c r="H40" s="3"/>
    </row>
    <row r="41" spans="1:8">
      <c r="A41" s="8"/>
      <c r="B41" s="3">
        <v>1</v>
      </c>
      <c r="C41" s="33" t="s">
        <v>1239</v>
      </c>
      <c r="D41" s="3" t="s">
        <v>474</v>
      </c>
      <c r="F41" s="3"/>
      <c r="G41" s="3"/>
      <c r="H41" s="3"/>
    </row>
    <row r="42" spans="1:8" ht="30.75" customHeight="1">
      <c r="A42" s="83" t="s">
        <v>96</v>
      </c>
      <c r="B42" s="83"/>
      <c r="C42" s="83"/>
      <c r="D42" s="83"/>
      <c r="E42" s="83"/>
      <c r="F42" s="83"/>
      <c r="G42" s="83"/>
      <c r="H42" s="83"/>
    </row>
  </sheetData>
  <mergeCells count="9">
    <mergeCell ref="A42:H42"/>
    <mergeCell ref="A1:E1"/>
    <mergeCell ref="F1:H1"/>
    <mergeCell ref="A2:A3"/>
    <mergeCell ref="B2:B3"/>
    <mergeCell ref="C2:C3"/>
    <mergeCell ref="D2:E2"/>
    <mergeCell ref="F2:F3"/>
    <mergeCell ref="G2:H2"/>
  </mergeCells>
  <pageMargins left="0.7" right="0.7" top="0.75" bottom="0.75" header="0.3" footer="0.3"/>
  <pageSetup fitToHeight="0" orientation="landscape" r:id="rId1"/>
  <headerFooter>
    <oddHeader>&amp;C&amp;"-,Bold"MIDLIFE OVERHAUL 2015-16 NEW FLYER XN40 (SR1947: 2830-2993)</oddHeader>
    <oddFooter>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75D56-400F-40D0-A9DF-6C7294AEFAA0}">
  <sheetPr>
    <pageSetUpPr fitToPage="1"/>
  </sheetPr>
  <dimension ref="A1:H5"/>
  <sheetViews>
    <sheetView view="pageLayout" zoomScaleNormal="100" workbookViewId="0">
      <selection activeCell="G23" sqref="G23"/>
    </sheetView>
  </sheetViews>
  <sheetFormatPr defaultRowHeight="14.45"/>
  <cols>
    <col min="1" max="1" width="10.42578125" customWidth="1"/>
    <col min="2" max="2" width="4.28515625" bestFit="1" customWidth="1"/>
    <col min="3" max="3" width="40.140625" customWidth="1"/>
    <col min="4" max="4" width="14.140625" bestFit="1" customWidth="1"/>
    <col min="5" max="5" width="15.42578125" customWidth="1"/>
    <col min="6" max="6" width="13.42578125" customWidth="1"/>
    <col min="7" max="7" width="11.85546875" customWidth="1"/>
    <col min="8" max="8" width="11.42578125" customWidth="1"/>
  </cols>
  <sheetData>
    <row r="1" spans="1:8" ht="15" customHeight="1">
      <c r="A1" s="84" t="s">
        <v>1240</v>
      </c>
      <c r="B1" s="85"/>
      <c r="C1" s="85"/>
      <c r="D1" s="85"/>
      <c r="E1" s="85"/>
      <c r="F1" s="86" t="s">
        <v>1241</v>
      </c>
      <c r="G1" s="87"/>
      <c r="H1" s="88"/>
    </row>
    <row r="2" spans="1:8">
      <c r="A2" s="72" t="s">
        <v>98</v>
      </c>
      <c r="B2" s="72" t="s">
        <v>43</v>
      </c>
      <c r="C2" s="72" t="s">
        <v>44</v>
      </c>
      <c r="D2" s="82" t="s">
        <v>148</v>
      </c>
      <c r="E2" s="74"/>
      <c r="F2" s="72" t="s">
        <v>47</v>
      </c>
      <c r="G2" s="75" t="s">
        <v>48</v>
      </c>
      <c r="H2" s="75"/>
    </row>
    <row r="3" spans="1:8">
      <c r="A3" s="72"/>
      <c r="B3" s="72"/>
      <c r="C3" s="72"/>
      <c r="D3" s="1" t="s">
        <v>49</v>
      </c>
      <c r="E3" s="1" t="s">
        <v>50</v>
      </c>
      <c r="F3" s="72"/>
      <c r="G3" s="2" t="s">
        <v>51</v>
      </c>
      <c r="H3" s="2" t="s">
        <v>52</v>
      </c>
    </row>
    <row r="4" spans="1:8">
      <c r="A4" s="3">
        <v>801700006</v>
      </c>
      <c r="B4" s="3">
        <v>1</v>
      </c>
      <c r="C4" s="3" t="s">
        <v>1242</v>
      </c>
      <c r="D4" s="3" t="s">
        <v>474</v>
      </c>
      <c r="E4" s="3" t="s">
        <v>1243</v>
      </c>
      <c r="F4" s="3"/>
      <c r="G4" s="3"/>
      <c r="H4" s="3"/>
    </row>
    <row r="5" spans="1:8" s="5" customFormat="1" ht="30.75" customHeight="1">
      <c r="A5" s="93" t="s">
        <v>1244</v>
      </c>
      <c r="B5" s="93"/>
      <c r="C5" s="93"/>
      <c r="D5" s="93"/>
      <c r="E5" s="93"/>
      <c r="F5" s="93"/>
      <c r="G5" s="93"/>
      <c r="H5" s="93"/>
    </row>
  </sheetData>
  <mergeCells count="9">
    <mergeCell ref="A5:H5"/>
    <mergeCell ref="A1:E1"/>
    <mergeCell ref="F1:H1"/>
    <mergeCell ref="A2:A3"/>
    <mergeCell ref="B2:B3"/>
    <mergeCell ref="C2:C3"/>
    <mergeCell ref="D2:E2"/>
    <mergeCell ref="F2:F3"/>
    <mergeCell ref="G2:H2"/>
  </mergeCells>
  <pageMargins left="0.7" right="0.7" top="0.75" bottom="0.75" header="0.3" footer="0.3"/>
  <pageSetup fitToHeight="0" orientation="landscape" r:id="rId1"/>
  <headerFooter>
    <oddHeader>&amp;C&amp;"-,Bold"MIDLIFE OVERHAUL 2015-16 NEW FLYER XN40 (SR1947: 2830-2993)</oddHeader>
    <oddFooter>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25946-B31B-4D27-BDCB-F22D1226A61D}">
  <sheetPr>
    <pageSetUpPr fitToPage="1"/>
  </sheetPr>
  <dimension ref="A1:H5"/>
  <sheetViews>
    <sheetView view="pageLayout" zoomScaleNormal="100" workbookViewId="0">
      <selection activeCell="H27" sqref="H27"/>
    </sheetView>
  </sheetViews>
  <sheetFormatPr defaultRowHeight="14.45"/>
  <cols>
    <col min="1" max="1" width="11.7109375" customWidth="1"/>
    <col min="2" max="2" width="4.28515625" bestFit="1" customWidth="1"/>
    <col min="3" max="3" width="34.140625" customWidth="1"/>
    <col min="4" max="4" width="23" customWidth="1"/>
    <col min="5" max="5" width="13.28515625" customWidth="1"/>
    <col min="6" max="6" width="13.7109375" customWidth="1"/>
    <col min="7" max="7" width="11.140625" customWidth="1"/>
    <col min="8" max="8" width="12" customWidth="1"/>
  </cols>
  <sheetData>
    <row r="1" spans="1:8" ht="15" customHeight="1">
      <c r="A1" s="76" t="s">
        <v>1245</v>
      </c>
      <c r="B1" s="77"/>
      <c r="C1" s="77"/>
      <c r="D1" s="77"/>
      <c r="E1" s="78"/>
      <c r="F1" s="82" t="s">
        <v>41</v>
      </c>
      <c r="G1" s="73"/>
      <c r="H1" s="74"/>
    </row>
    <row r="2" spans="1:8">
      <c r="A2" s="72" t="s">
        <v>98</v>
      </c>
      <c r="B2" s="72" t="s">
        <v>43</v>
      </c>
      <c r="C2" s="72" t="s">
        <v>44</v>
      </c>
      <c r="D2" s="82" t="s">
        <v>148</v>
      </c>
      <c r="E2" s="74"/>
      <c r="F2" s="72" t="s">
        <v>47</v>
      </c>
      <c r="G2" s="75" t="s">
        <v>48</v>
      </c>
      <c r="H2" s="75"/>
    </row>
    <row r="3" spans="1:8">
      <c r="A3" s="72"/>
      <c r="B3" s="72"/>
      <c r="C3" s="72"/>
      <c r="D3" s="1" t="s">
        <v>49</v>
      </c>
      <c r="E3" s="1" t="s">
        <v>50</v>
      </c>
      <c r="F3" s="72"/>
      <c r="G3" s="2" t="s">
        <v>51</v>
      </c>
      <c r="H3" s="2" t="s">
        <v>52</v>
      </c>
    </row>
    <row r="4" spans="1:8">
      <c r="A4" s="8" t="s">
        <v>25</v>
      </c>
      <c r="B4" s="3">
        <v>1</v>
      </c>
      <c r="C4" s="3" t="s">
        <v>1246</v>
      </c>
      <c r="D4" s="3" t="s">
        <v>1247</v>
      </c>
      <c r="E4" s="8" t="s">
        <v>1248</v>
      </c>
      <c r="F4" s="8"/>
      <c r="G4" s="34"/>
      <c r="H4" s="34"/>
    </row>
    <row r="5" spans="1:8" s="5" customFormat="1" ht="28.5" customHeight="1">
      <c r="A5" s="93" t="s">
        <v>1249</v>
      </c>
      <c r="B5" s="93"/>
      <c r="C5" s="93"/>
      <c r="D5" s="93"/>
      <c r="E5" s="93"/>
      <c r="F5" s="93"/>
      <c r="G5" s="93"/>
      <c r="H5" s="93"/>
    </row>
  </sheetData>
  <mergeCells count="9">
    <mergeCell ref="A5:H5"/>
    <mergeCell ref="A1:E1"/>
    <mergeCell ref="F1:H1"/>
    <mergeCell ref="A2:A3"/>
    <mergeCell ref="B2:B3"/>
    <mergeCell ref="C2:C3"/>
    <mergeCell ref="D2:E2"/>
    <mergeCell ref="F2:F3"/>
    <mergeCell ref="G2:H2"/>
  </mergeCells>
  <pageMargins left="0.7" right="0.7" top="0.5591666666666667" bottom="0.75" header="0.3" footer="0.3"/>
  <pageSetup scale="99" orientation="landscape" r:id="rId1"/>
  <headerFooter>
    <oddHeader>&amp;C&amp;"-,Bold"MIDLIFE OVERHAUL 2015-16 NEW FLYER XN40 (SR1947: 2830-2993)</oddHeader>
    <oddFooter>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21029-14AE-4E4B-B56B-9DEF85E4A220}">
  <sheetPr>
    <pageSetUpPr fitToPage="1"/>
  </sheetPr>
  <dimension ref="A1:I104"/>
  <sheetViews>
    <sheetView view="pageLayout" zoomScaleNormal="100" workbookViewId="0">
      <selection activeCell="H26" sqref="H26"/>
    </sheetView>
  </sheetViews>
  <sheetFormatPr defaultRowHeight="14.45"/>
  <cols>
    <col min="1" max="1" width="10.42578125" customWidth="1"/>
    <col min="2" max="2" width="4.28515625" bestFit="1" customWidth="1"/>
    <col min="3" max="3" width="25.28515625" customWidth="1"/>
    <col min="4" max="4" width="11.28515625" customWidth="1"/>
    <col min="5" max="5" width="18" customWidth="1"/>
    <col min="6" max="6" width="14.42578125" customWidth="1"/>
    <col min="7" max="7" width="12.42578125" customWidth="1"/>
    <col min="8" max="8" width="11.85546875" customWidth="1"/>
    <col min="9" max="9" width="12.42578125" customWidth="1"/>
  </cols>
  <sheetData>
    <row r="1" spans="1:9" ht="15" customHeight="1">
      <c r="A1" s="71" t="s">
        <v>1250</v>
      </c>
      <c r="B1" s="71"/>
      <c r="C1" s="71"/>
      <c r="D1" s="71"/>
      <c r="E1" s="71"/>
      <c r="F1" s="72" t="s">
        <v>41</v>
      </c>
      <c r="G1" s="72"/>
      <c r="H1" s="72"/>
      <c r="I1" s="72"/>
    </row>
    <row r="2" spans="1:9">
      <c r="A2" s="72" t="s">
        <v>98</v>
      </c>
      <c r="B2" s="72" t="s">
        <v>43</v>
      </c>
      <c r="C2" s="72" t="s">
        <v>44</v>
      </c>
      <c r="D2" s="82" t="s">
        <v>45</v>
      </c>
      <c r="E2" s="74"/>
      <c r="F2" s="73" t="s">
        <v>46</v>
      </c>
      <c r="G2" s="74"/>
      <c r="H2" s="75" t="s">
        <v>48</v>
      </c>
      <c r="I2" s="75"/>
    </row>
    <row r="3" spans="1:9">
      <c r="A3" s="72"/>
      <c r="B3" s="72"/>
      <c r="C3" s="72"/>
      <c r="D3" s="1" t="s">
        <v>49</v>
      </c>
      <c r="E3" s="1" t="s">
        <v>50</v>
      </c>
      <c r="F3" s="1" t="s">
        <v>49</v>
      </c>
      <c r="G3" s="1" t="s">
        <v>50</v>
      </c>
      <c r="H3" s="2" t="s">
        <v>51</v>
      </c>
      <c r="I3" s="2" t="s">
        <v>52</v>
      </c>
    </row>
    <row r="4" spans="1:9">
      <c r="A4" s="8"/>
      <c r="B4" s="3">
        <v>2</v>
      </c>
      <c r="C4" s="3" t="s">
        <v>648</v>
      </c>
      <c r="D4" s="3" t="s">
        <v>1251</v>
      </c>
      <c r="E4" s="8" t="s">
        <v>1252</v>
      </c>
      <c r="F4" s="3"/>
      <c r="G4" s="3"/>
      <c r="H4" s="3"/>
      <c r="I4" s="3"/>
    </row>
    <row r="5" spans="1:9">
      <c r="A5" s="8"/>
      <c r="B5" s="3">
        <v>2</v>
      </c>
      <c r="C5" s="3" t="s">
        <v>1253</v>
      </c>
      <c r="D5" s="3" t="s">
        <v>1251</v>
      </c>
      <c r="E5" s="12">
        <v>29542754</v>
      </c>
      <c r="F5" s="3"/>
      <c r="G5" s="3"/>
      <c r="H5" s="3"/>
      <c r="I5" s="3"/>
    </row>
    <row r="6" spans="1:9">
      <c r="A6" s="8">
        <v>906550028</v>
      </c>
      <c r="B6" s="3">
        <v>1</v>
      </c>
      <c r="C6" s="3" t="s">
        <v>1254</v>
      </c>
      <c r="D6" s="3" t="s">
        <v>1251</v>
      </c>
      <c r="E6" s="3">
        <v>29503225</v>
      </c>
      <c r="F6" s="3"/>
      <c r="G6" s="3"/>
      <c r="H6" s="3"/>
      <c r="I6" s="3"/>
    </row>
    <row r="7" spans="1:9">
      <c r="A7" s="8">
        <v>906550013</v>
      </c>
      <c r="B7" s="3">
        <v>1</v>
      </c>
      <c r="C7" s="3" t="s">
        <v>1254</v>
      </c>
      <c r="D7" s="3" t="s">
        <v>1251</v>
      </c>
      <c r="E7" s="3">
        <v>29500768</v>
      </c>
      <c r="F7" s="3"/>
      <c r="G7" s="3"/>
      <c r="H7" s="3"/>
      <c r="I7" s="3"/>
    </row>
    <row r="8" spans="1:9">
      <c r="A8" s="8"/>
      <c r="B8" s="3">
        <v>1</v>
      </c>
      <c r="C8" s="3" t="s">
        <v>1255</v>
      </c>
      <c r="D8" s="3" t="s">
        <v>1251</v>
      </c>
      <c r="E8" s="3">
        <v>29545518</v>
      </c>
      <c r="F8" s="3"/>
      <c r="G8" s="3"/>
      <c r="H8" s="3"/>
      <c r="I8" s="3"/>
    </row>
    <row r="9" spans="1:9">
      <c r="A9" s="8">
        <v>906550058</v>
      </c>
      <c r="B9" s="3">
        <v>1</v>
      </c>
      <c r="C9" s="3" t="s">
        <v>1256</v>
      </c>
      <c r="D9" s="3" t="s">
        <v>1251</v>
      </c>
      <c r="E9" s="3">
        <v>29533975</v>
      </c>
      <c r="F9" s="3"/>
      <c r="G9" s="3"/>
      <c r="H9" s="3"/>
      <c r="I9" s="3"/>
    </row>
    <row r="10" spans="1:9">
      <c r="A10" s="8"/>
      <c r="B10" s="3">
        <v>1</v>
      </c>
      <c r="C10" s="3" t="s">
        <v>1256</v>
      </c>
      <c r="D10" s="3" t="s">
        <v>1251</v>
      </c>
      <c r="E10" s="3">
        <v>29542026</v>
      </c>
      <c r="F10" s="3"/>
      <c r="G10" s="3"/>
      <c r="H10" s="3"/>
      <c r="I10" s="3"/>
    </row>
    <row r="11" spans="1:9">
      <c r="A11" s="8">
        <v>906550052</v>
      </c>
      <c r="B11" s="3">
        <v>1</v>
      </c>
      <c r="C11" s="3" t="s">
        <v>1257</v>
      </c>
      <c r="D11" s="3" t="s">
        <v>1251</v>
      </c>
      <c r="E11" s="3">
        <v>23045816</v>
      </c>
      <c r="F11" s="3"/>
      <c r="G11" s="3"/>
      <c r="H11" s="3"/>
      <c r="I11" s="3"/>
    </row>
    <row r="12" spans="1:9">
      <c r="A12" s="8">
        <v>906550059</v>
      </c>
      <c r="B12" s="3">
        <v>1</v>
      </c>
      <c r="C12" s="3" t="s">
        <v>1258</v>
      </c>
      <c r="D12" s="3" t="s">
        <v>1251</v>
      </c>
      <c r="E12" s="3">
        <v>29538448</v>
      </c>
      <c r="F12" s="3"/>
      <c r="G12" s="3"/>
      <c r="H12" s="3"/>
      <c r="I12" s="3"/>
    </row>
    <row r="13" spans="1:9">
      <c r="A13" s="8">
        <v>906550053</v>
      </c>
      <c r="B13" s="3">
        <v>1</v>
      </c>
      <c r="C13" s="3" t="s">
        <v>1257</v>
      </c>
      <c r="D13" s="3" t="s">
        <v>1251</v>
      </c>
      <c r="E13" s="3">
        <v>23047834</v>
      </c>
      <c r="F13" s="3"/>
      <c r="G13" s="3"/>
      <c r="H13" s="3"/>
      <c r="I13" s="3"/>
    </row>
    <row r="14" spans="1:9">
      <c r="A14" s="8">
        <v>906550204</v>
      </c>
      <c r="B14" s="3">
        <v>1</v>
      </c>
      <c r="C14" s="3" t="s">
        <v>1259</v>
      </c>
      <c r="D14" s="3" t="s">
        <v>1251</v>
      </c>
      <c r="E14" s="3">
        <v>29552341</v>
      </c>
      <c r="F14" s="3"/>
      <c r="G14" s="3"/>
      <c r="H14" s="3"/>
      <c r="I14" s="3"/>
    </row>
    <row r="15" spans="1:9">
      <c r="A15" s="8">
        <v>906550060</v>
      </c>
      <c r="B15" s="3">
        <v>2</v>
      </c>
      <c r="C15" s="3" t="s">
        <v>1254</v>
      </c>
      <c r="D15" s="3" t="s">
        <v>1251</v>
      </c>
      <c r="E15" s="3">
        <v>23047854</v>
      </c>
      <c r="F15" s="3"/>
      <c r="G15" s="3"/>
      <c r="H15" s="3"/>
      <c r="I15" s="3"/>
    </row>
    <row r="16" spans="1:9">
      <c r="A16" s="8">
        <v>906550065</v>
      </c>
      <c r="B16" s="3">
        <v>12</v>
      </c>
      <c r="C16" s="3" t="s">
        <v>1260</v>
      </c>
      <c r="D16" s="3" t="s">
        <v>1251</v>
      </c>
      <c r="E16" s="3">
        <v>29502040</v>
      </c>
      <c r="F16" s="3"/>
      <c r="G16" s="3"/>
      <c r="H16" s="3"/>
      <c r="I16" s="3"/>
    </row>
    <row r="17" spans="1:9">
      <c r="A17" s="8">
        <v>906550208</v>
      </c>
      <c r="B17" s="3">
        <v>12</v>
      </c>
      <c r="C17" s="3" t="s">
        <v>1257</v>
      </c>
      <c r="D17" s="3" t="s">
        <v>1251</v>
      </c>
      <c r="E17" s="3">
        <v>29541565</v>
      </c>
      <c r="F17" s="3"/>
      <c r="G17" s="3"/>
      <c r="H17" s="3"/>
      <c r="I17" s="3"/>
    </row>
    <row r="18" spans="1:9">
      <c r="A18" s="8"/>
      <c r="B18" s="3">
        <v>1</v>
      </c>
      <c r="C18" s="3" t="s">
        <v>1261</v>
      </c>
      <c r="D18" s="3" t="s">
        <v>1251</v>
      </c>
      <c r="E18" s="3">
        <v>29503974</v>
      </c>
      <c r="F18" s="3"/>
      <c r="G18" s="3"/>
      <c r="H18" s="3"/>
      <c r="I18" s="3"/>
    </row>
    <row r="19" spans="1:9">
      <c r="A19" s="8"/>
      <c r="B19" s="3">
        <v>11</v>
      </c>
      <c r="C19" s="3" t="s">
        <v>1262</v>
      </c>
      <c r="D19" s="3" t="s">
        <v>1251</v>
      </c>
      <c r="E19" s="3">
        <v>29542748</v>
      </c>
      <c r="F19" s="3"/>
      <c r="G19" s="3"/>
      <c r="H19" s="3"/>
      <c r="I19" s="3"/>
    </row>
    <row r="20" spans="1:9">
      <c r="A20" s="8">
        <v>906550046</v>
      </c>
      <c r="B20" s="3">
        <v>8</v>
      </c>
      <c r="C20" s="3" t="s">
        <v>1263</v>
      </c>
      <c r="D20" s="3" t="s">
        <v>1251</v>
      </c>
      <c r="E20" s="3">
        <v>29536346</v>
      </c>
      <c r="F20" s="3"/>
      <c r="G20" s="3"/>
      <c r="H20" s="3"/>
      <c r="I20" s="3"/>
    </row>
    <row r="21" spans="1:9">
      <c r="A21" s="8">
        <v>906550110</v>
      </c>
      <c r="B21" s="3">
        <v>10</v>
      </c>
      <c r="C21" s="3" t="s">
        <v>1264</v>
      </c>
      <c r="D21" s="3" t="s">
        <v>1251</v>
      </c>
      <c r="E21" s="3">
        <v>29536336</v>
      </c>
      <c r="F21" s="3"/>
      <c r="G21" s="3"/>
      <c r="H21" s="3"/>
      <c r="I21" s="3"/>
    </row>
    <row r="22" spans="1:9">
      <c r="A22" s="8">
        <v>906550048</v>
      </c>
      <c r="B22" s="3">
        <v>7</v>
      </c>
      <c r="C22" s="3" t="s">
        <v>1265</v>
      </c>
      <c r="D22" s="3" t="s">
        <v>1251</v>
      </c>
      <c r="E22" s="3">
        <v>29536337</v>
      </c>
      <c r="F22" s="3"/>
      <c r="G22" s="3"/>
      <c r="H22" s="3"/>
      <c r="I22" s="3"/>
    </row>
    <row r="23" spans="1:9">
      <c r="A23" s="8">
        <v>906550035</v>
      </c>
      <c r="B23" s="3">
        <v>1</v>
      </c>
      <c r="C23" s="3" t="s">
        <v>1266</v>
      </c>
      <c r="D23" s="3" t="s">
        <v>1251</v>
      </c>
      <c r="E23" s="3">
        <v>29546229</v>
      </c>
      <c r="F23" s="3"/>
      <c r="G23" s="3"/>
      <c r="H23" s="3"/>
      <c r="I23" s="3"/>
    </row>
    <row r="24" spans="1:9">
      <c r="A24" s="8">
        <v>906550067</v>
      </c>
      <c r="B24" s="3">
        <v>1</v>
      </c>
      <c r="C24" s="3" t="s">
        <v>1256</v>
      </c>
      <c r="D24" s="3" t="s">
        <v>1251</v>
      </c>
      <c r="E24" s="3">
        <v>29531004</v>
      </c>
      <c r="F24" s="3"/>
      <c r="G24" s="3"/>
      <c r="H24" s="3"/>
      <c r="I24" s="3"/>
    </row>
    <row r="25" spans="1:9">
      <c r="A25" s="8">
        <v>906550064</v>
      </c>
      <c r="B25" s="3">
        <v>8</v>
      </c>
      <c r="C25" s="3" t="s">
        <v>1267</v>
      </c>
      <c r="D25" s="3" t="s">
        <v>1251</v>
      </c>
      <c r="E25" s="3">
        <v>29502037</v>
      </c>
      <c r="F25" s="3"/>
      <c r="G25" s="3"/>
      <c r="H25" s="3"/>
      <c r="I25" s="3"/>
    </row>
    <row r="26" spans="1:9">
      <c r="A26" s="8"/>
      <c r="B26" s="3">
        <v>8</v>
      </c>
      <c r="C26" s="3" t="s">
        <v>1257</v>
      </c>
      <c r="D26" s="3" t="s">
        <v>1251</v>
      </c>
      <c r="E26" s="3">
        <v>29541564</v>
      </c>
      <c r="F26" s="3"/>
      <c r="G26" s="3"/>
      <c r="H26" s="3"/>
      <c r="I26" s="3"/>
    </row>
    <row r="27" spans="1:9">
      <c r="A27" s="8">
        <v>906550144</v>
      </c>
      <c r="B27" s="3">
        <v>1</v>
      </c>
      <c r="C27" s="3" t="s">
        <v>1268</v>
      </c>
      <c r="D27" s="3" t="s">
        <v>1251</v>
      </c>
      <c r="E27" s="3">
        <v>29549294</v>
      </c>
      <c r="F27" s="3"/>
      <c r="G27" s="3"/>
      <c r="H27" s="3"/>
      <c r="I27" s="3"/>
    </row>
    <row r="28" spans="1:9">
      <c r="A28" s="8">
        <v>906550145</v>
      </c>
      <c r="B28" s="3">
        <v>1</v>
      </c>
      <c r="C28" s="3" t="s">
        <v>1269</v>
      </c>
      <c r="D28" s="3" t="s">
        <v>1251</v>
      </c>
      <c r="E28" s="3">
        <v>29546166</v>
      </c>
      <c r="F28" s="3"/>
      <c r="G28" s="3"/>
      <c r="H28" s="3"/>
      <c r="I28" s="3"/>
    </row>
    <row r="29" spans="1:9">
      <c r="A29" s="8">
        <v>906550158</v>
      </c>
      <c r="B29" s="3">
        <v>1</v>
      </c>
      <c r="C29" s="3" t="s">
        <v>1269</v>
      </c>
      <c r="D29" s="3" t="s">
        <v>1251</v>
      </c>
      <c r="E29" s="3">
        <v>29546165</v>
      </c>
      <c r="F29" s="3"/>
      <c r="G29" s="3"/>
      <c r="H29" s="3"/>
      <c r="I29" s="3"/>
    </row>
    <row r="30" spans="1:9">
      <c r="A30" s="8">
        <v>906550142</v>
      </c>
      <c r="B30" s="3">
        <v>1</v>
      </c>
      <c r="C30" s="3" t="s">
        <v>1254</v>
      </c>
      <c r="D30" s="3" t="s">
        <v>1251</v>
      </c>
      <c r="E30" s="3">
        <v>23046228</v>
      </c>
      <c r="F30" s="3"/>
      <c r="G30" s="3"/>
      <c r="H30" s="3"/>
      <c r="I30" s="3"/>
    </row>
    <row r="31" spans="1:9">
      <c r="A31" s="8">
        <v>906550143</v>
      </c>
      <c r="B31" s="3">
        <v>1</v>
      </c>
      <c r="C31" s="3" t="s">
        <v>1269</v>
      </c>
      <c r="D31" s="3" t="s">
        <v>1251</v>
      </c>
      <c r="E31" s="3">
        <v>29500025</v>
      </c>
      <c r="F31" s="3"/>
      <c r="G31" s="3"/>
      <c r="H31" s="3"/>
      <c r="I31" s="3"/>
    </row>
    <row r="32" spans="1:9">
      <c r="A32" s="8">
        <v>906550013</v>
      </c>
      <c r="B32" s="3">
        <v>1</v>
      </c>
      <c r="C32" s="3" t="s">
        <v>1270</v>
      </c>
      <c r="D32" s="3" t="s">
        <v>1251</v>
      </c>
      <c r="E32" s="3">
        <v>29500768</v>
      </c>
      <c r="F32" s="3"/>
      <c r="G32" s="3"/>
      <c r="H32" s="3"/>
      <c r="I32" s="3"/>
    </row>
    <row r="33" spans="1:9">
      <c r="A33" s="8">
        <v>906550141</v>
      </c>
      <c r="B33" s="3">
        <v>1</v>
      </c>
      <c r="C33" s="3" t="s">
        <v>1271</v>
      </c>
      <c r="D33" s="3" t="s">
        <v>1251</v>
      </c>
      <c r="E33" s="3">
        <v>23045918</v>
      </c>
      <c r="F33" s="3"/>
      <c r="G33" s="3"/>
      <c r="H33" s="3"/>
      <c r="I33" s="3"/>
    </row>
    <row r="34" spans="1:9">
      <c r="A34" s="8">
        <v>906550135</v>
      </c>
      <c r="B34" s="3">
        <v>1</v>
      </c>
      <c r="C34" s="3" t="s">
        <v>1272</v>
      </c>
      <c r="D34" s="3" t="s">
        <v>1251</v>
      </c>
      <c r="E34" s="3">
        <v>23049377</v>
      </c>
      <c r="F34" s="3"/>
      <c r="G34" s="3"/>
      <c r="H34" s="3"/>
      <c r="I34" s="3"/>
    </row>
    <row r="35" spans="1:9">
      <c r="A35" s="8">
        <v>906550179</v>
      </c>
      <c r="B35" s="3">
        <v>1</v>
      </c>
      <c r="C35" s="3" t="s">
        <v>1273</v>
      </c>
      <c r="D35" s="3" t="s">
        <v>1251</v>
      </c>
      <c r="E35" s="3">
        <v>23046274</v>
      </c>
      <c r="F35" s="3"/>
      <c r="G35" s="3"/>
      <c r="H35" s="3"/>
      <c r="I35" s="3"/>
    </row>
    <row r="36" spans="1:9">
      <c r="A36" s="8"/>
      <c r="B36" s="3">
        <v>1</v>
      </c>
      <c r="C36" s="3" t="s">
        <v>1261</v>
      </c>
      <c r="D36" s="3" t="s">
        <v>1251</v>
      </c>
      <c r="E36" s="3">
        <v>23042434</v>
      </c>
      <c r="F36" s="3"/>
      <c r="G36" s="3"/>
      <c r="H36" s="3"/>
      <c r="I36" s="3"/>
    </row>
    <row r="37" spans="1:9">
      <c r="A37" s="8">
        <v>906550195</v>
      </c>
      <c r="B37" s="3">
        <v>1</v>
      </c>
      <c r="C37" s="3" t="s">
        <v>1256</v>
      </c>
      <c r="D37" s="3" t="s">
        <v>1251</v>
      </c>
      <c r="E37" s="3">
        <v>29531001</v>
      </c>
      <c r="F37" s="3"/>
      <c r="G37" s="3"/>
      <c r="H37" s="3"/>
      <c r="I37" s="3"/>
    </row>
    <row r="38" spans="1:9">
      <c r="A38" s="8">
        <v>906550060</v>
      </c>
      <c r="B38" s="3">
        <v>3</v>
      </c>
      <c r="C38" s="3" t="s">
        <v>1254</v>
      </c>
      <c r="D38" s="3" t="s">
        <v>1251</v>
      </c>
      <c r="E38" s="3">
        <v>23047854</v>
      </c>
      <c r="F38" s="3"/>
      <c r="G38" s="3"/>
      <c r="H38" s="3"/>
      <c r="I38" s="3"/>
    </row>
    <row r="39" spans="1:9">
      <c r="A39" s="8">
        <v>906550173</v>
      </c>
      <c r="B39" s="3">
        <v>1</v>
      </c>
      <c r="C39" s="3" t="s">
        <v>1274</v>
      </c>
      <c r="D39" s="3" t="s">
        <v>1251</v>
      </c>
      <c r="E39" s="3">
        <v>29546153</v>
      </c>
      <c r="F39" s="3"/>
      <c r="G39" s="3"/>
      <c r="H39" s="3"/>
      <c r="I39" s="3"/>
    </row>
    <row r="40" spans="1:9">
      <c r="A40" s="8">
        <v>906550193</v>
      </c>
      <c r="B40" s="3">
        <v>1</v>
      </c>
      <c r="C40" s="3" t="s">
        <v>1274</v>
      </c>
      <c r="D40" s="3" t="s">
        <v>1251</v>
      </c>
      <c r="E40" s="3">
        <v>29546154</v>
      </c>
      <c r="F40" s="3"/>
      <c r="G40" s="3"/>
      <c r="H40" s="3"/>
      <c r="I40" s="3"/>
    </row>
    <row r="41" spans="1:9">
      <c r="A41" s="8">
        <v>906550175</v>
      </c>
      <c r="B41" s="3">
        <v>1</v>
      </c>
      <c r="C41" s="3" t="s">
        <v>1274</v>
      </c>
      <c r="D41" s="3" t="s">
        <v>1251</v>
      </c>
      <c r="E41" s="3">
        <v>23045613</v>
      </c>
      <c r="F41" s="3"/>
      <c r="G41" s="3"/>
      <c r="H41" s="3"/>
      <c r="I41" s="3"/>
    </row>
    <row r="42" spans="1:9">
      <c r="A42" s="8"/>
      <c r="B42" s="3">
        <v>1</v>
      </c>
      <c r="C42" s="3" t="s">
        <v>1274</v>
      </c>
      <c r="D42" s="3" t="s">
        <v>1251</v>
      </c>
      <c r="E42" s="3">
        <v>29546155</v>
      </c>
      <c r="F42" s="3"/>
      <c r="G42" s="3"/>
      <c r="H42" s="3"/>
      <c r="I42" s="3"/>
    </row>
    <row r="43" spans="1:9">
      <c r="A43" s="8"/>
      <c r="B43" s="3">
        <v>1</v>
      </c>
      <c r="C43" s="3" t="s">
        <v>1274</v>
      </c>
      <c r="D43" s="3" t="s">
        <v>1251</v>
      </c>
      <c r="E43" s="3">
        <v>29546156</v>
      </c>
      <c r="F43" s="3"/>
      <c r="G43" s="3"/>
      <c r="H43" s="3"/>
      <c r="I43" s="3"/>
    </row>
    <row r="44" spans="1:9">
      <c r="A44" s="8">
        <v>906550213</v>
      </c>
      <c r="B44" s="3">
        <v>6</v>
      </c>
      <c r="C44" s="3" t="s">
        <v>1275</v>
      </c>
      <c r="D44" s="3" t="s">
        <v>1251</v>
      </c>
      <c r="E44" s="3">
        <v>29536334</v>
      </c>
      <c r="F44" s="3"/>
      <c r="G44" s="3"/>
      <c r="H44" s="3"/>
      <c r="I44" s="3"/>
    </row>
    <row r="45" spans="1:9">
      <c r="A45" s="8">
        <v>906550211</v>
      </c>
      <c r="B45" s="3">
        <v>6</v>
      </c>
      <c r="C45" s="3" t="s">
        <v>1276</v>
      </c>
      <c r="D45" s="3" t="s">
        <v>1251</v>
      </c>
      <c r="E45" s="3">
        <v>29536335</v>
      </c>
      <c r="F45" s="3"/>
      <c r="G45" s="3"/>
      <c r="H45" s="3"/>
      <c r="I45" s="3"/>
    </row>
    <row r="46" spans="1:9">
      <c r="A46" s="8">
        <v>906550196</v>
      </c>
      <c r="B46" s="3">
        <v>1</v>
      </c>
      <c r="C46" s="3" t="s">
        <v>1256</v>
      </c>
      <c r="D46" s="3" t="s">
        <v>1251</v>
      </c>
      <c r="E46" s="3">
        <v>29531003</v>
      </c>
      <c r="F46" s="3"/>
      <c r="G46" s="3"/>
      <c r="H46" s="3"/>
      <c r="I46" s="3"/>
    </row>
    <row r="47" spans="1:9">
      <c r="A47" s="8">
        <v>906550291</v>
      </c>
      <c r="B47" s="3">
        <v>1</v>
      </c>
      <c r="C47" s="3" t="s">
        <v>1277</v>
      </c>
      <c r="D47" s="3" t="s">
        <v>1251</v>
      </c>
      <c r="E47" s="3">
        <v>29543432</v>
      </c>
      <c r="F47" s="3"/>
      <c r="G47" s="3"/>
      <c r="H47" s="3"/>
      <c r="I47" s="3"/>
    </row>
    <row r="48" spans="1:9">
      <c r="A48" s="8">
        <v>906550252</v>
      </c>
      <c r="B48" s="3">
        <v>1</v>
      </c>
      <c r="C48" s="3" t="s">
        <v>1278</v>
      </c>
      <c r="D48" s="3" t="s">
        <v>1251</v>
      </c>
      <c r="E48" s="3">
        <v>29503288</v>
      </c>
      <c r="F48" s="3"/>
      <c r="G48" s="3"/>
      <c r="H48" s="3"/>
      <c r="I48" s="3"/>
    </row>
    <row r="49" spans="1:9">
      <c r="A49" s="8">
        <v>906550230</v>
      </c>
      <c r="B49" s="3">
        <v>1</v>
      </c>
      <c r="C49" s="3" t="s">
        <v>1279</v>
      </c>
      <c r="D49" s="3" t="s">
        <v>1251</v>
      </c>
      <c r="E49" s="3">
        <v>29537867</v>
      </c>
      <c r="F49" s="3"/>
      <c r="G49" s="3"/>
      <c r="H49" s="3"/>
      <c r="I49" s="3"/>
    </row>
    <row r="50" spans="1:9">
      <c r="A50" s="8">
        <v>906550197</v>
      </c>
      <c r="B50" s="3">
        <v>2</v>
      </c>
      <c r="C50" s="3" t="s">
        <v>1256</v>
      </c>
      <c r="D50" s="3" t="s">
        <v>1251</v>
      </c>
      <c r="E50" s="3">
        <v>29546596</v>
      </c>
      <c r="F50" s="3"/>
      <c r="G50" s="3"/>
      <c r="H50" s="3"/>
      <c r="I50" s="3"/>
    </row>
    <row r="51" spans="1:9">
      <c r="A51" s="8">
        <v>906550220</v>
      </c>
      <c r="B51" s="3">
        <v>2</v>
      </c>
      <c r="C51" s="3" t="s">
        <v>1257</v>
      </c>
      <c r="D51" s="3" t="s">
        <v>1251</v>
      </c>
      <c r="E51" s="3">
        <v>23046437</v>
      </c>
      <c r="F51" s="3"/>
      <c r="G51" s="3"/>
      <c r="H51" s="3"/>
      <c r="I51" s="3"/>
    </row>
    <row r="52" spans="1:9">
      <c r="A52" s="8"/>
      <c r="B52" s="3">
        <v>8</v>
      </c>
      <c r="C52" s="3" t="s">
        <v>1280</v>
      </c>
      <c r="D52" s="3" t="s">
        <v>1251</v>
      </c>
      <c r="E52" s="3">
        <v>29511406</v>
      </c>
      <c r="F52" s="3"/>
      <c r="G52" s="3"/>
      <c r="H52" s="3"/>
      <c r="I52" s="3"/>
    </row>
    <row r="53" spans="1:9">
      <c r="A53" s="8"/>
      <c r="B53" s="3">
        <v>8</v>
      </c>
      <c r="C53" s="3" t="s">
        <v>1257</v>
      </c>
      <c r="D53" s="3" t="s">
        <v>1251</v>
      </c>
      <c r="E53" s="3">
        <v>29541563</v>
      </c>
      <c r="F53" s="3"/>
      <c r="G53" s="3"/>
      <c r="H53" s="3"/>
      <c r="I53" s="3"/>
    </row>
    <row r="54" spans="1:9">
      <c r="A54" s="8"/>
      <c r="B54" s="3">
        <v>1</v>
      </c>
      <c r="C54" s="3" t="s">
        <v>1269</v>
      </c>
      <c r="D54" s="3" t="s">
        <v>1251</v>
      </c>
      <c r="E54" s="3">
        <v>29546157</v>
      </c>
      <c r="F54" s="3"/>
      <c r="G54" s="3"/>
      <c r="H54" s="3"/>
      <c r="I54" s="3"/>
    </row>
    <row r="55" spans="1:9">
      <c r="A55" s="8"/>
      <c r="B55" s="3">
        <v>1</v>
      </c>
      <c r="C55" s="3" t="s">
        <v>1269</v>
      </c>
      <c r="D55" s="3" t="s">
        <v>1251</v>
      </c>
      <c r="E55" s="3">
        <v>29510682</v>
      </c>
      <c r="F55" s="3"/>
      <c r="G55" s="3"/>
      <c r="H55" s="3"/>
      <c r="I55" s="3"/>
    </row>
    <row r="56" spans="1:9">
      <c r="A56" s="8">
        <v>906550233</v>
      </c>
      <c r="B56" s="3">
        <v>2</v>
      </c>
      <c r="C56" s="3" t="s">
        <v>1281</v>
      </c>
      <c r="D56" s="3" t="s">
        <v>1251</v>
      </c>
      <c r="E56" s="3">
        <v>23046438</v>
      </c>
      <c r="F56" s="3"/>
      <c r="G56" s="3"/>
      <c r="H56" s="3"/>
      <c r="I56" s="3"/>
    </row>
    <row r="57" spans="1:9">
      <c r="A57" s="8">
        <v>906550221</v>
      </c>
      <c r="B57" s="3">
        <v>1</v>
      </c>
      <c r="C57" s="3" t="s">
        <v>1272</v>
      </c>
      <c r="D57" s="3" t="s">
        <v>1251</v>
      </c>
      <c r="E57" s="3">
        <v>23047019</v>
      </c>
      <c r="F57" s="3"/>
      <c r="G57" s="3"/>
      <c r="H57" s="3"/>
      <c r="I57" s="3"/>
    </row>
    <row r="58" spans="1:9">
      <c r="A58" s="8"/>
      <c r="B58" s="3">
        <v>2</v>
      </c>
      <c r="C58" s="3" t="s">
        <v>1282</v>
      </c>
      <c r="D58" s="3" t="s">
        <v>1251</v>
      </c>
      <c r="E58" s="3">
        <v>29503714</v>
      </c>
      <c r="F58" s="3"/>
      <c r="G58" s="3"/>
      <c r="H58" s="3"/>
      <c r="I58" s="3"/>
    </row>
    <row r="59" spans="1:9">
      <c r="A59" s="8"/>
      <c r="B59" s="3">
        <v>1</v>
      </c>
      <c r="C59" s="3" t="s">
        <v>1283</v>
      </c>
      <c r="D59" s="3" t="s">
        <v>1251</v>
      </c>
      <c r="E59" s="3">
        <v>29536742</v>
      </c>
      <c r="F59" s="3"/>
      <c r="G59" s="3"/>
      <c r="H59" s="3"/>
      <c r="I59" s="3"/>
    </row>
    <row r="60" spans="1:9">
      <c r="A60" s="8">
        <v>906550241</v>
      </c>
      <c r="B60" s="3">
        <v>1</v>
      </c>
      <c r="C60" s="3" t="s">
        <v>1284</v>
      </c>
      <c r="D60" s="3" t="s">
        <v>1251</v>
      </c>
      <c r="E60" s="3">
        <v>15326309</v>
      </c>
      <c r="F60" s="3"/>
      <c r="G60" s="3"/>
      <c r="H60" s="3"/>
      <c r="I60" s="3"/>
    </row>
    <row r="61" spans="1:9">
      <c r="A61" s="8">
        <v>906580033</v>
      </c>
      <c r="B61" s="3">
        <v>1</v>
      </c>
      <c r="C61" s="3" t="s">
        <v>1277</v>
      </c>
      <c r="D61" s="3" t="s">
        <v>1251</v>
      </c>
      <c r="E61" s="3">
        <v>29543434</v>
      </c>
      <c r="F61" s="3"/>
      <c r="G61" s="3"/>
      <c r="H61" s="3"/>
      <c r="I61" s="3"/>
    </row>
    <row r="62" spans="1:9">
      <c r="A62" s="8"/>
      <c r="B62" s="3">
        <v>1</v>
      </c>
      <c r="C62" s="3" t="s">
        <v>1285</v>
      </c>
      <c r="D62" s="3" t="s">
        <v>1251</v>
      </c>
      <c r="E62" s="3">
        <v>29536728</v>
      </c>
      <c r="F62" s="3"/>
      <c r="G62" s="3"/>
      <c r="H62" s="3"/>
      <c r="I62" s="3"/>
    </row>
    <row r="63" spans="1:9">
      <c r="A63" s="8"/>
      <c r="B63" s="3">
        <v>1</v>
      </c>
      <c r="C63" s="3" t="s">
        <v>1286</v>
      </c>
      <c r="D63" s="3" t="s">
        <v>1251</v>
      </c>
      <c r="E63" s="3">
        <v>29515692</v>
      </c>
      <c r="F63" s="3"/>
      <c r="G63" s="3"/>
      <c r="H63" s="3"/>
      <c r="I63" s="3"/>
    </row>
    <row r="64" spans="1:9">
      <c r="A64" s="8">
        <v>906550164</v>
      </c>
      <c r="B64" s="3">
        <v>1</v>
      </c>
      <c r="C64" s="3" t="s">
        <v>1287</v>
      </c>
      <c r="D64" s="3" t="s">
        <v>1251</v>
      </c>
      <c r="E64" s="3">
        <v>29503208</v>
      </c>
      <c r="F64" s="3"/>
      <c r="G64" s="3"/>
      <c r="H64" s="3"/>
      <c r="I64" s="3"/>
    </row>
    <row r="65" spans="1:9">
      <c r="A65" s="8"/>
      <c r="B65" s="3">
        <v>2</v>
      </c>
      <c r="C65" s="3" t="s">
        <v>1259</v>
      </c>
      <c r="D65" s="3" t="s">
        <v>1251</v>
      </c>
      <c r="E65" s="3">
        <v>29529310</v>
      </c>
      <c r="F65" s="3"/>
      <c r="G65" s="3"/>
      <c r="H65" s="3"/>
      <c r="I65" s="3"/>
    </row>
    <row r="66" spans="1:9">
      <c r="A66" s="8"/>
      <c r="B66" s="3">
        <v>1</v>
      </c>
      <c r="C66" s="3" t="s">
        <v>1288</v>
      </c>
      <c r="D66" s="3" t="s">
        <v>1251</v>
      </c>
      <c r="E66" s="3">
        <v>29540379</v>
      </c>
      <c r="F66" s="3"/>
      <c r="G66" s="3"/>
      <c r="H66" s="3"/>
      <c r="I66" s="3"/>
    </row>
    <row r="67" spans="1:9">
      <c r="A67" s="8"/>
      <c r="B67" s="3">
        <v>1</v>
      </c>
      <c r="C67" s="3" t="s">
        <v>1289</v>
      </c>
      <c r="D67" s="3" t="s">
        <v>1251</v>
      </c>
      <c r="E67" s="3">
        <v>29542891</v>
      </c>
      <c r="F67" s="3"/>
      <c r="G67" s="3"/>
      <c r="H67" s="3"/>
      <c r="I67" s="3"/>
    </row>
    <row r="68" spans="1:9">
      <c r="A68" s="8"/>
      <c r="B68" s="3">
        <v>1</v>
      </c>
      <c r="C68" s="3" t="s">
        <v>1290</v>
      </c>
      <c r="D68" s="3" t="s">
        <v>1251</v>
      </c>
      <c r="E68" s="8" t="s">
        <v>1291</v>
      </c>
      <c r="F68" s="3"/>
      <c r="G68" s="3"/>
      <c r="H68" s="3"/>
      <c r="I68" s="3"/>
    </row>
    <row r="69" spans="1:9">
      <c r="A69" s="8">
        <v>906550077</v>
      </c>
      <c r="B69" s="3">
        <v>1</v>
      </c>
      <c r="C69" s="3" t="s">
        <v>1292</v>
      </c>
      <c r="D69" s="3" t="s">
        <v>1251</v>
      </c>
      <c r="E69" s="3">
        <v>29558331</v>
      </c>
      <c r="F69" s="3"/>
      <c r="G69" s="3"/>
      <c r="H69" s="3"/>
      <c r="I69" s="3"/>
    </row>
    <row r="70" spans="1:9">
      <c r="A70" s="8"/>
      <c r="B70" s="3">
        <v>1</v>
      </c>
      <c r="C70" s="3" t="s">
        <v>1293</v>
      </c>
      <c r="D70" s="3" t="s">
        <v>1251</v>
      </c>
      <c r="E70" s="3">
        <v>29549577</v>
      </c>
      <c r="F70" s="3"/>
      <c r="G70" s="3"/>
      <c r="H70" s="3"/>
      <c r="I70" s="3"/>
    </row>
    <row r="71" spans="1:9">
      <c r="A71" s="8"/>
      <c r="B71" s="3">
        <v>4</v>
      </c>
      <c r="C71" s="3" t="s">
        <v>1294</v>
      </c>
      <c r="D71" s="3" t="s">
        <v>1251</v>
      </c>
      <c r="E71" s="3">
        <v>29548945</v>
      </c>
      <c r="F71" s="3"/>
      <c r="G71" s="3"/>
      <c r="H71" s="3"/>
      <c r="I71" s="3"/>
    </row>
    <row r="72" spans="1:9">
      <c r="A72" s="8"/>
      <c r="B72" s="3">
        <v>1</v>
      </c>
      <c r="C72" s="3" t="s">
        <v>1259</v>
      </c>
      <c r="D72" s="3" t="s">
        <v>1251</v>
      </c>
      <c r="E72" s="3">
        <v>29542938</v>
      </c>
      <c r="F72" s="3"/>
      <c r="G72" s="3"/>
      <c r="H72" s="3"/>
      <c r="I72" s="3"/>
    </row>
    <row r="73" spans="1:9">
      <c r="A73" s="8"/>
      <c r="B73" s="3">
        <v>4</v>
      </c>
      <c r="C73" s="3" t="s">
        <v>1295</v>
      </c>
      <c r="D73" s="3" t="s">
        <v>1251</v>
      </c>
      <c r="E73" s="3">
        <v>29554236</v>
      </c>
      <c r="F73" s="3"/>
      <c r="G73" s="3"/>
      <c r="H73" s="3"/>
      <c r="I73" s="3"/>
    </row>
    <row r="74" spans="1:9">
      <c r="A74" s="8"/>
      <c r="B74" s="3">
        <v>1</v>
      </c>
      <c r="C74" s="3" t="s">
        <v>1296</v>
      </c>
      <c r="D74" s="3" t="s">
        <v>1251</v>
      </c>
      <c r="E74" s="3">
        <v>29542941</v>
      </c>
      <c r="F74" s="3"/>
      <c r="G74" s="3"/>
      <c r="H74" s="3"/>
      <c r="I74" s="3"/>
    </row>
    <row r="75" spans="1:9">
      <c r="A75" s="8"/>
      <c r="B75" s="3">
        <v>2</v>
      </c>
      <c r="C75" s="3" t="s">
        <v>1297</v>
      </c>
      <c r="D75" s="3" t="s">
        <v>1251</v>
      </c>
      <c r="E75" s="3">
        <v>29541897</v>
      </c>
      <c r="F75" s="3"/>
      <c r="G75" s="3"/>
      <c r="H75" s="3"/>
      <c r="I75" s="3"/>
    </row>
    <row r="76" spans="1:9">
      <c r="A76" s="8"/>
      <c r="B76" s="3">
        <v>4</v>
      </c>
      <c r="C76" s="3" t="s">
        <v>1298</v>
      </c>
      <c r="D76" s="3" t="s">
        <v>1251</v>
      </c>
      <c r="E76" s="3">
        <v>29544297</v>
      </c>
      <c r="F76" s="3"/>
      <c r="G76" s="3"/>
      <c r="H76" s="3"/>
      <c r="I76" s="3"/>
    </row>
    <row r="77" spans="1:9">
      <c r="A77" s="8">
        <v>906550115</v>
      </c>
      <c r="B77" s="3">
        <v>1</v>
      </c>
      <c r="C77" s="3" t="s">
        <v>1299</v>
      </c>
      <c r="D77" s="3" t="s">
        <v>1251</v>
      </c>
      <c r="E77" s="3">
        <v>29545638</v>
      </c>
      <c r="F77" s="3"/>
      <c r="G77" s="3"/>
      <c r="H77" s="3"/>
      <c r="I77" s="3"/>
    </row>
    <row r="78" spans="1:9">
      <c r="A78" s="8"/>
      <c r="B78" s="3">
        <v>1</v>
      </c>
      <c r="C78" s="3" t="s">
        <v>1300</v>
      </c>
      <c r="D78" s="3" t="s">
        <v>1251</v>
      </c>
      <c r="E78" s="3">
        <v>29543433</v>
      </c>
      <c r="F78" s="3"/>
      <c r="G78" s="3"/>
      <c r="H78" s="3"/>
      <c r="I78" s="3"/>
    </row>
    <row r="79" spans="1:9">
      <c r="A79" s="8"/>
      <c r="B79" s="3">
        <v>1</v>
      </c>
      <c r="C79" s="3" t="s">
        <v>1301</v>
      </c>
      <c r="D79" s="3" t="s">
        <v>1251</v>
      </c>
      <c r="E79" s="3">
        <v>29552364</v>
      </c>
      <c r="F79" s="3"/>
      <c r="G79" s="3"/>
      <c r="H79" s="3"/>
      <c r="I79" s="3"/>
    </row>
    <row r="80" spans="1:9">
      <c r="A80" s="8"/>
      <c r="B80" s="3">
        <v>1</v>
      </c>
      <c r="C80" s="3" t="s">
        <v>1302</v>
      </c>
      <c r="D80" s="3" t="s">
        <v>1251</v>
      </c>
      <c r="E80" s="3">
        <v>29549658</v>
      </c>
      <c r="F80" s="3"/>
      <c r="G80" s="3"/>
      <c r="H80" s="3"/>
      <c r="I80" s="3"/>
    </row>
    <row r="81" spans="1:9">
      <c r="A81" s="8">
        <v>906550107</v>
      </c>
      <c r="B81" s="3">
        <v>1</v>
      </c>
      <c r="C81" s="3" t="s">
        <v>1303</v>
      </c>
      <c r="D81" s="3" t="s">
        <v>1251</v>
      </c>
      <c r="E81" s="3">
        <v>23049326</v>
      </c>
      <c r="F81" s="3"/>
      <c r="G81" s="3"/>
      <c r="H81" s="3"/>
      <c r="I81" s="3"/>
    </row>
    <row r="82" spans="1:9">
      <c r="A82" s="8">
        <v>906550103</v>
      </c>
      <c r="B82" s="3">
        <v>1</v>
      </c>
      <c r="C82" s="3" t="s">
        <v>1304</v>
      </c>
      <c r="D82" s="3" t="s">
        <v>1251</v>
      </c>
      <c r="E82" s="3">
        <v>23049327</v>
      </c>
      <c r="F82" s="3"/>
      <c r="G82" s="3"/>
      <c r="H82" s="3"/>
      <c r="I82" s="3"/>
    </row>
    <row r="83" spans="1:9">
      <c r="A83" s="8">
        <v>906550113</v>
      </c>
      <c r="B83" s="3">
        <v>1</v>
      </c>
      <c r="C83" s="3" t="s">
        <v>1305</v>
      </c>
      <c r="D83" s="3" t="s">
        <v>1251</v>
      </c>
      <c r="E83" s="3">
        <v>29500963</v>
      </c>
      <c r="F83" s="3"/>
      <c r="G83" s="3"/>
      <c r="H83" s="3"/>
      <c r="I83" s="3"/>
    </row>
    <row r="84" spans="1:9">
      <c r="A84" s="8"/>
      <c r="B84" s="3">
        <v>1</v>
      </c>
      <c r="C84" s="3" t="s">
        <v>1306</v>
      </c>
      <c r="D84" s="3" t="s">
        <v>1251</v>
      </c>
      <c r="E84" s="3">
        <v>29542926</v>
      </c>
      <c r="F84" s="3"/>
      <c r="G84" s="3"/>
      <c r="H84" s="3"/>
      <c r="I84" s="3"/>
    </row>
    <row r="85" spans="1:9">
      <c r="A85" s="8"/>
      <c r="B85" s="3">
        <v>2</v>
      </c>
      <c r="C85" s="3" t="s">
        <v>1307</v>
      </c>
      <c r="D85" s="3" t="s">
        <v>1251</v>
      </c>
      <c r="E85" s="3">
        <v>29545023</v>
      </c>
      <c r="F85" s="3"/>
      <c r="G85" s="3"/>
      <c r="H85" s="3"/>
      <c r="I85" s="3"/>
    </row>
    <row r="86" spans="1:9">
      <c r="A86" s="8">
        <v>906550249</v>
      </c>
      <c r="B86" s="3">
        <v>1</v>
      </c>
      <c r="C86" s="3" t="s">
        <v>1308</v>
      </c>
      <c r="D86" s="3" t="s">
        <v>1251</v>
      </c>
      <c r="E86" s="3">
        <v>23049391</v>
      </c>
      <c r="F86" s="3"/>
      <c r="G86" s="3"/>
      <c r="H86" s="3"/>
      <c r="I86" s="3"/>
    </row>
    <row r="87" spans="1:9">
      <c r="A87" s="8">
        <v>906550122</v>
      </c>
      <c r="B87" s="3">
        <v>1</v>
      </c>
      <c r="C87" s="3" t="s">
        <v>1309</v>
      </c>
      <c r="D87" s="3" t="s">
        <v>1251</v>
      </c>
      <c r="E87" s="3">
        <v>29507456</v>
      </c>
      <c r="F87" s="3"/>
      <c r="G87" s="3"/>
      <c r="H87" s="3"/>
      <c r="I87" s="3"/>
    </row>
    <row r="88" spans="1:9">
      <c r="A88" s="8">
        <v>906550051</v>
      </c>
      <c r="B88" s="3">
        <v>1</v>
      </c>
      <c r="C88" s="3" t="s">
        <v>1310</v>
      </c>
      <c r="D88" s="3" t="s">
        <v>1251</v>
      </c>
      <c r="E88" s="3">
        <v>23047185</v>
      </c>
      <c r="F88" s="3"/>
      <c r="G88" s="3"/>
      <c r="H88" s="3"/>
      <c r="I88" s="3"/>
    </row>
    <row r="89" spans="1:9">
      <c r="A89" s="8"/>
      <c r="B89" s="3">
        <v>1</v>
      </c>
      <c r="C89" s="3" t="s">
        <v>1311</v>
      </c>
      <c r="D89" s="3" t="s">
        <v>1251</v>
      </c>
      <c r="E89" s="3">
        <v>29546549</v>
      </c>
      <c r="F89" s="3"/>
      <c r="G89" s="3"/>
      <c r="H89" s="3"/>
      <c r="I89" s="3"/>
    </row>
    <row r="90" spans="1:9">
      <c r="A90" s="8"/>
      <c r="B90" s="3">
        <v>1</v>
      </c>
      <c r="C90" s="3" t="s">
        <v>1312</v>
      </c>
      <c r="D90" s="3" t="s">
        <v>1251</v>
      </c>
      <c r="E90" s="3">
        <v>29549755</v>
      </c>
      <c r="F90" s="3"/>
      <c r="G90" s="3"/>
      <c r="H90" s="3"/>
      <c r="I90" s="3"/>
    </row>
    <row r="91" spans="1:9">
      <c r="A91" s="8">
        <v>906550166</v>
      </c>
      <c r="B91" s="3">
        <v>1</v>
      </c>
      <c r="C91" s="3" t="s">
        <v>1313</v>
      </c>
      <c r="D91" s="3" t="s">
        <v>1251</v>
      </c>
      <c r="E91" s="3">
        <v>29564138</v>
      </c>
      <c r="F91" s="3"/>
      <c r="G91" s="3"/>
      <c r="H91" s="3"/>
      <c r="I91" s="3"/>
    </row>
    <row r="92" spans="1:9">
      <c r="A92" s="8"/>
      <c r="B92" s="3">
        <v>1</v>
      </c>
      <c r="C92" s="3" t="s">
        <v>1314</v>
      </c>
      <c r="D92" s="3" t="s">
        <v>1251</v>
      </c>
      <c r="E92" s="3">
        <v>29559768</v>
      </c>
      <c r="F92" s="3"/>
      <c r="G92" s="3"/>
      <c r="H92" s="3"/>
      <c r="I92" s="3"/>
    </row>
    <row r="93" spans="1:9">
      <c r="A93" s="8">
        <v>906550169</v>
      </c>
      <c r="B93" s="3">
        <v>13</v>
      </c>
      <c r="C93" s="3" t="s">
        <v>1315</v>
      </c>
      <c r="D93" s="3" t="s">
        <v>1251</v>
      </c>
      <c r="E93" s="3">
        <v>29500063</v>
      </c>
      <c r="F93" s="3"/>
      <c r="G93" s="3"/>
      <c r="H93" s="3"/>
      <c r="I93" s="3"/>
    </row>
    <row r="94" spans="1:9">
      <c r="A94" s="8">
        <v>906550160</v>
      </c>
      <c r="B94" s="3">
        <v>13</v>
      </c>
      <c r="C94" s="3" t="s">
        <v>1316</v>
      </c>
      <c r="D94" s="3" t="s">
        <v>1251</v>
      </c>
      <c r="E94" s="3">
        <v>29500064</v>
      </c>
      <c r="F94" s="3"/>
      <c r="G94" s="3"/>
      <c r="H94" s="3"/>
      <c r="I94" s="3"/>
    </row>
    <row r="95" spans="1:9">
      <c r="A95" s="8"/>
      <c r="B95" s="3">
        <v>1</v>
      </c>
      <c r="C95" s="3" t="s">
        <v>1317</v>
      </c>
      <c r="D95" s="3" t="s">
        <v>1251</v>
      </c>
      <c r="E95" s="3">
        <v>29537941</v>
      </c>
      <c r="F95" s="3"/>
      <c r="G95" s="3"/>
      <c r="H95" s="3"/>
      <c r="I95" s="3"/>
    </row>
    <row r="96" spans="1:9">
      <c r="A96" s="8">
        <v>906550069</v>
      </c>
      <c r="B96" s="3">
        <v>1</v>
      </c>
      <c r="C96" s="3" t="s">
        <v>1318</v>
      </c>
      <c r="D96" s="3" t="s">
        <v>1251</v>
      </c>
      <c r="E96" s="3">
        <v>29537940</v>
      </c>
      <c r="F96" s="3"/>
      <c r="G96" s="3"/>
      <c r="H96" s="3"/>
      <c r="I96" s="3"/>
    </row>
    <row r="97" spans="1:9">
      <c r="A97" s="8">
        <v>906550068</v>
      </c>
      <c r="B97" s="3">
        <v>1</v>
      </c>
      <c r="C97" s="3" t="s">
        <v>1319</v>
      </c>
      <c r="D97" s="3" t="s">
        <v>1251</v>
      </c>
      <c r="E97" s="3">
        <v>29537939</v>
      </c>
      <c r="F97" s="3"/>
      <c r="G97" s="3"/>
      <c r="H97" s="3"/>
      <c r="I97" s="3"/>
    </row>
    <row r="98" spans="1:9">
      <c r="A98" s="8"/>
      <c r="B98" s="3">
        <v>1</v>
      </c>
      <c r="C98" s="3" t="s">
        <v>1320</v>
      </c>
      <c r="D98" s="3" t="s">
        <v>1251</v>
      </c>
      <c r="E98" s="3">
        <v>29540992</v>
      </c>
      <c r="F98" s="3"/>
      <c r="G98" s="3"/>
      <c r="H98" s="3"/>
      <c r="I98" s="3"/>
    </row>
    <row r="99" spans="1:9">
      <c r="A99" s="8"/>
      <c r="B99" s="3">
        <v>1</v>
      </c>
      <c r="C99" s="3" t="s">
        <v>1321</v>
      </c>
      <c r="D99" s="3" t="s">
        <v>1251</v>
      </c>
      <c r="E99" s="3">
        <v>29535213</v>
      </c>
      <c r="F99" s="3"/>
      <c r="G99" s="3"/>
      <c r="H99" s="3"/>
      <c r="I99" s="3"/>
    </row>
    <row r="100" spans="1:9">
      <c r="A100" s="8"/>
      <c r="B100" s="3">
        <v>1</v>
      </c>
      <c r="C100" s="3" t="s">
        <v>1322</v>
      </c>
      <c r="D100" s="3" t="s">
        <v>1251</v>
      </c>
      <c r="E100" s="3">
        <v>29543047</v>
      </c>
      <c r="F100" s="3"/>
      <c r="G100" s="3"/>
      <c r="H100" s="3"/>
      <c r="I100" s="3"/>
    </row>
    <row r="101" spans="1:9">
      <c r="A101" s="8"/>
      <c r="B101" s="3">
        <v>1</v>
      </c>
      <c r="C101" s="3" t="s">
        <v>1322</v>
      </c>
      <c r="D101" s="3" t="s">
        <v>1251</v>
      </c>
      <c r="E101" s="3">
        <v>29544645</v>
      </c>
      <c r="G101" s="3"/>
      <c r="H101" s="3"/>
      <c r="I101" s="3"/>
    </row>
    <row r="102" spans="1:9" ht="27.75" customHeight="1">
      <c r="A102" s="83" t="s">
        <v>96</v>
      </c>
      <c r="B102" s="83"/>
      <c r="C102" s="83"/>
      <c r="D102" s="83"/>
      <c r="E102" s="83"/>
      <c r="F102" s="83"/>
      <c r="G102" s="83"/>
      <c r="H102" s="83"/>
      <c r="I102" s="83"/>
    </row>
    <row r="103" spans="1:9" ht="12" customHeight="1">
      <c r="A103" s="35"/>
      <c r="B103" s="35"/>
      <c r="C103" s="35"/>
      <c r="D103" s="35"/>
      <c r="E103" s="35"/>
      <c r="F103" s="35"/>
      <c r="G103" s="35"/>
      <c r="H103" s="35"/>
      <c r="I103" s="35"/>
    </row>
    <row r="104" spans="1:9">
      <c r="A104" s="36"/>
      <c r="B104" s="36"/>
      <c r="C104" s="36"/>
      <c r="D104" s="36"/>
      <c r="E104" s="36"/>
      <c r="F104" s="36"/>
      <c r="G104" s="36"/>
      <c r="H104" s="36"/>
      <c r="I104" s="36"/>
    </row>
  </sheetData>
  <mergeCells count="9">
    <mergeCell ref="A102:I102"/>
    <mergeCell ref="A1:E1"/>
    <mergeCell ref="F1:I1"/>
    <mergeCell ref="A2:A3"/>
    <mergeCell ref="B2:B3"/>
    <mergeCell ref="C2:C3"/>
    <mergeCell ref="D2:E2"/>
    <mergeCell ref="F2:G2"/>
    <mergeCell ref="H2:I2"/>
  </mergeCells>
  <pageMargins left="0.7" right="0.7" top="0.60833333333333328" bottom="0.75" header="0.3" footer="0.3"/>
  <pageSetup fitToHeight="0" orientation="landscape" r:id="rId1"/>
  <headerFooter>
    <oddFooter>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F1195-6AFB-43A2-B0AC-80C763143F81}">
  <sheetPr>
    <pageSetUpPr fitToPage="1"/>
  </sheetPr>
  <dimension ref="A1:J37"/>
  <sheetViews>
    <sheetView view="pageLayout" zoomScaleNormal="100" workbookViewId="0">
      <selection activeCell="F23" sqref="F23"/>
    </sheetView>
  </sheetViews>
  <sheetFormatPr defaultRowHeight="14.45"/>
  <cols>
    <col min="1" max="1" width="12.28515625" customWidth="1"/>
    <col min="2" max="2" width="4.28515625" bestFit="1" customWidth="1"/>
    <col min="3" max="3" width="52" bestFit="1" customWidth="1"/>
    <col min="4" max="4" width="16.5703125" customWidth="1"/>
    <col min="5" max="5" width="12.7109375" bestFit="1" customWidth="1"/>
    <col min="6" max="6" width="12.7109375" customWidth="1"/>
    <col min="7" max="7" width="13" customWidth="1"/>
    <col min="8" max="8" width="12.42578125" customWidth="1"/>
  </cols>
  <sheetData>
    <row r="1" spans="1:10" ht="15" customHeight="1">
      <c r="A1" s="76" t="s">
        <v>1323</v>
      </c>
      <c r="B1" s="77"/>
      <c r="C1" s="77"/>
      <c r="D1" s="77"/>
      <c r="E1" s="78"/>
      <c r="F1" s="82" t="s">
        <v>41</v>
      </c>
      <c r="G1" s="73"/>
      <c r="H1" s="73"/>
      <c r="I1" s="73"/>
      <c r="J1" s="74"/>
    </row>
    <row r="2" spans="1:10">
      <c r="A2" s="72" t="s">
        <v>98</v>
      </c>
      <c r="B2" s="72" t="s">
        <v>43</v>
      </c>
      <c r="C2" s="72" t="s">
        <v>44</v>
      </c>
      <c r="D2" s="82" t="s">
        <v>148</v>
      </c>
      <c r="E2" s="74"/>
      <c r="F2" s="73" t="s">
        <v>46</v>
      </c>
      <c r="G2" s="74"/>
      <c r="H2" s="72" t="s">
        <v>47</v>
      </c>
      <c r="I2" s="75" t="s">
        <v>48</v>
      </c>
      <c r="J2" s="75"/>
    </row>
    <row r="3" spans="1:10">
      <c r="A3" s="72"/>
      <c r="B3" s="72"/>
      <c r="C3" s="72"/>
      <c r="D3" s="1" t="s">
        <v>49</v>
      </c>
      <c r="E3" s="1" t="s">
        <v>50</v>
      </c>
      <c r="F3" s="1" t="s">
        <v>49</v>
      </c>
      <c r="G3" s="1" t="s">
        <v>50</v>
      </c>
      <c r="H3" s="72"/>
      <c r="I3" s="2" t="s">
        <v>51</v>
      </c>
      <c r="J3" s="2" t="s">
        <v>52</v>
      </c>
    </row>
    <row r="4" spans="1:10">
      <c r="A4" s="8">
        <v>987650377</v>
      </c>
      <c r="B4" s="3">
        <v>1</v>
      </c>
      <c r="C4" s="3" t="s">
        <v>1324</v>
      </c>
      <c r="D4" s="3" t="s">
        <v>1325</v>
      </c>
      <c r="E4" s="3" t="s">
        <v>1326</v>
      </c>
      <c r="F4" s="3"/>
      <c r="G4" s="3"/>
      <c r="H4" s="3"/>
      <c r="I4" s="3"/>
      <c r="J4" s="3"/>
    </row>
    <row r="5" spans="1:10">
      <c r="A5" s="8">
        <v>987650473</v>
      </c>
      <c r="B5" s="3">
        <v>1</v>
      </c>
      <c r="C5" s="3" t="s">
        <v>1327</v>
      </c>
      <c r="D5" s="3" t="s">
        <v>1325</v>
      </c>
      <c r="E5" s="3" t="s">
        <v>1328</v>
      </c>
      <c r="F5" s="3"/>
      <c r="G5" s="3"/>
      <c r="H5" s="3"/>
      <c r="I5" s="3"/>
      <c r="J5" s="3"/>
    </row>
    <row r="6" spans="1:10">
      <c r="A6" s="8">
        <v>987650527</v>
      </c>
      <c r="B6" s="3">
        <v>1</v>
      </c>
      <c r="C6" s="3" t="s">
        <v>1329</v>
      </c>
      <c r="D6" s="3" t="s">
        <v>1325</v>
      </c>
      <c r="E6" s="3" t="s">
        <v>1330</v>
      </c>
      <c r="F6" s="3"/>
      <c r="G6" s="3"/>
      <c r="H6" s="3"/>
      <c r="I6" s="3"/>
      <c r="J6" s="3"/>
    </row>
    <row r="7" spans="1:10">
      <c r="A7" s="8">
        <v>987650530</v>
      </c>
      <c r="B7" s="3">
        <v>1</v>
      </c>
      <c r="C7" s="3" t="s">
        <v>1331</v>
      </c>
      <c r="D7" s="3" t="s">
        <v>1325</v>
      </c>
      <c r="E7" s="3" t="s">
        <v>1332</v>
      </c>
      <c r="F7" s="3"/>
      <c r="G7" s="3"/>
      <c r="H7" s="3"/>
      <c r="I7" s="3"/>
      <c r="J7" s="3"/>
    </row>
    <row r="8" spans="1:10">
      <c r="A8" s="8">
        <v>987650539</v>
      </c>
      <c r="B8" s="3">
        <v>1</v>
      </c>
      <c r="C8" s="3" t="s">
        <v>1333</v>
      </c>
      <c r="D8" s="3" t="s">
        <v>1325</v>
      </c>
      <c r="E8" s="3" t="s">
        <v>1334</v>
      </c>
      <c r="F8" s="3"/>
      <c r="G8" s="3"/>
      <c r="H8" s="3"/>
      <c r="I8" s="3"/>
      <c r="J8" s="3"/>
    </row>
    <row r="9" spans="1:10">
      <c r="A9" s="8">
        <v>987650546</v>
      </c>
      <c r="B9" s="3">
        <v>1</v>
      </c>
      <c r="C9" s="3" t="s">
        <v>1335</v>
      </c>
      <c r="D9" s="3" t="s">
        <v>1325</v>
      </c>
      <c r="E9" s="3" t="s">
        <v>1336</v>
      </c>
      <c r="F9" s="3"/>
      <c r="G9" s="3"/>
      <c r="H9" s="3"/>
      <c r="I9" s="3"/>
      <c r="J9" s="3"/>
    </row>
    <row r="10" spans="1:10">
      <c r="A10" s="8">
        <v>987650548</v>
      </c>
      <c r="B10" s="3">
        <v>1</v>
      </c>
      <c r="C10" s="3" t="s">
        <v>1337</v>
      </c>
      <c r="D10" s="3" t="s">
        <v>1325</v>
      </c>
      <c r="E10" s="3" t="s">
        <v>1338</v>
      </c>
      <c r="F10" s="3"/>
      <c r="G10" s="3"/>
      <c r="H10" s="3"/>
      <c r="I10" s="3"/>
      <c r="J10" s="3"/>
    </row>
    <row r="11" spans="1:10">
      <c r="A11" s="8">
        <v>987650550</v>
      </c>
      <c r="B11" s="3">
        <v>1</v>
      </c>
      <c r="C11" s="3" t="s">
        <v>1339</v>
      </c>
      <c r="D11" s="3" t="s">
        <v>1325</v>
      </c>
      <c r="E11" s="3" t="s">
        <v>1340</v>
      </c>
      <c r="F11" s="3"/>
      <c r="G11" s="3"/>
      <c r="H11" s="3"/>
      <c r="I11" s="3"/>
      <c r="J11" s="3"/>
    </row>
    <row r="12" spans="1:10">
      <c r="A12" s="8">
        <v>987650551</v>
      </c>
      <c r="B12" s="3">
        <v>1</v>
      </c>
      <c r="C12" s="3" t="s">
        <v>1341</v>
      </c>
      <c r="D12" s="3" t="s">
        <v>1325</v>
      </c>
      <c r="E12" s="3" t="s">
        <v>1342</v>
      </c>
      <c r="F12" s="3"/>
      <c r="G12" s="3"/>
      <c r="H12" s="3"/>
      <c r="I12" s="3"/>
      <c r="J12" s="3"/>
    </row>
    <row r="13" spans="1:10">
      <c r="A13" s="8">
        <v>987650554</v>
      </c>
      <c r="B13" s="3">
        <v>1</v>
      </c>
      <c r="C13" s="3" t="s">
        <v>1343</v>
      </c>
      <c r="D13" s="3" t="s">
        <v>1325</v>
      </c>
      <c r="E13" s="3" t="s">
        <v>1344</v>
      </c>
      <c r="F13" s="3"/>
      <c r="G13" s="3"/>
      <c r="H13" s="3"/>
      <c r="I13" s="3"/>
      <c r="J13" s="3"/>
    </row>
    <row r="14" spans="1:10">
      <c r="A14" s="8">
        <v>987650555</v>
      </c>
      <c r="B14" s="3">
        <v>1</v>
      </c>
      <c r="C14" s="3" t="s">
        <v>1345</v>
      </c>
      <c r="D14" s="3" t="s">
        <v>1325</v>
      </c>
      <c r="E14" s="3" t="s">
        <v>1346</v>
      </c>
      <c r="F14" s="3"/>
      <c r="G14" s="3"/>
      <c r="H14" s="3"/>
      <c r="I14" s="3"/>
      <c r="J14" s="3"/>
    </row>
    <row r="15" spans="1:10">
      <c r="A15" s="8">
        <v>987650556</v>
      </c>
      <c r="B15" s="3">
        <v>1</v>
      </c>
      <c r="C15" s="3" t="s">
        <v>1347</v>
      </c>
      <c r="D15" s="3" t="s">
        <v>1325</v>
      </c>
      <c r="E15" s="3" t="s">
        <v>1348</v>
      </c>
      <c r="F15" s="3"/>
      <c r="G15" s="3"/>
      <c r="H15" s="3"/>
      <c r="I15" s="3"/>
      <c r="J15" s="3"/>
    </row>
    <row r="16" spans="1:10">
      <c r="A16" s="8">
        <v>987650558</v>
      </c>
      <c r="B16" s="3">
        <v>1</v>
      </c>
      <c r="C16" s="3" t="s">
        <v>1349</v>
      </c>
      <c r="D16" s="3" t="s">
        <v>1325</v>
      </c>
      <c r="E16" s="3" t="s">
        <v>1350</v>
      </c>
      <c r="F16" s="3"/>
      <c r="G16" s="3"/>
      <c r="H16" s="3"/>
      <c r="I16" s="3"/>
      <c r="J16" s="3"/>
    </row>
    <row r="17" spans="1:10">
      <c r="A17" s="8">
        <v>987650563</v>
      </c>
      <c r="B17" s="3">
        <v>1</v>
      </c>
      <c r="C17" s="3" t="s">
        <v>1351</v>
      </c>
      <c r="D17" s="3" t="s">
        <v>1325</v>
      </c>
      <c r="E17" s="3" t="s">
        <v>1352</v>
      </c>
      <c r="F17" s="3"/>
      <c r="G17" s="3"/>
      <c r="H17" s="3"/>
      <c r="I17" s="3"/>
      <c r="J17" s="3"/>
    </row>
    <row r="18" spans="1:10">
      <c r="A18" s="8">
        <v>987650564</v>
      </c>
      <c r="B18" s="3">
        <v>1</v>
      </c>
      <c r="C18" s="3" t="s">
        <v>1353</v>
      </c>
      <c r="D18" s="3" t="s">
        <v>1325</v>
      </c>
      <c r="E18" s="3" t="s">
        <v>1354</v>
      </c>
      <c r="F18" s="3"/>
      <c r="G18" s="3"/>
      <c r="H18" s="3"/>
      <c r="I18" s="3"/>
      <c r="J18" s="3"/>
    </row>
    <row r="19" spans="1:10">
      <c r="A19" s="8">
        <v>987650566</v>
      </c>
      <c r="B19" s="3">
        <v>1</v>
      </c>
      <c r="C19" s="3" t="s">
        <v>1355</v>
      </c>
      <c r="D19" s="3" t="s">
        <v>1325</v>
      </c>
      <c r="E19" s="3" t="s">
        <v>1356</v>
      </c>
      <c r="F19" s="3"/>
      <c r="G19" s="3"/>
      <c r="H19" s="3"/>
      <c r="I19" s="3"/>
      <c r="J19" s="3"/>
    </row>
    <row r="20" spans="1:10">
      <c r="A20" s="8">
        <v>987650568</v>
      </c>
      <c r="B20" s="3">
        <v>1</v>
      </c>
      <c r="C20" s="3" t="s">
        <v>1357</v>
      </c>
      <c r="D20" s="3" t="s">
        <v>1325</v>
      </c>
      <c r="E20" s="3" t="s">
        <v>1358</v>
      </c>
      <c r="F20" s="3"/>
      <c r="G20" s="3"/>
      <c r="H20" s="3"/>
      <c r="I20" s="3"/>
      <c r="J20" s="3"/>
    </row>
    <row r="21" spans="1:10">
      <c r="A21" s="8">
        <v>987650569</v>
      </c>
      <c r="B21" s="3">
        <v>1</v>
      </c>
      <c r="C21" s="3" t="s">
        <v>1359</v>
      </c>
      <c r="D21" s="3" t="s">
        <v>1325</v>
      </c>
      <c r="E21" s="3" t="s">
        <v>1360</v>
      </c>
      <c r="F21" s="3"/>
      <c r="G21" s="3"/>
      <c r="H21" s="3"/>
      <c r="I21" s="3"/>
      <c r="J21" s="3"/>
    </row>
    <row r="22" spans="1:10">
      <c r="A22" s="8">
        <v>987650573</v>
      </c>
      <c r="B22" s="3">
        <v>1</v>
      </c>
      <c r="C22" s="3" t="s">
        <v>1361</v>
      </c>
      <c r="D22" s="3" t="s">
        <v>1325</v>
      </c>
      <c r="E22" s="3" t="s">
        <v>1362</v>
      </c>
      <c r="F22" s="3"/>
      <c r="G22" s="3"/>
      <c r="H22" s="3"/>
      <c r="I22" s="3"/>
      <c r="J22" s="3"/>
    </row>
    <row r="23" spans="1:10">
      <c r="A23" s="8">
        <v>987650584</v>
      </c>
      <c r="B23" s="3">
        <v>1</v>
      </c>
      <c r="C23" s="3" t="s">
        <v>1363</v>
      </c>
      <c r="D23" s="3" t="s">
        <v>1325</v>
      </c>
      <c r="E23" s="3" t="s">
        <v>1364</v>
      </c>
      <c r="F23" s="3"/>
      <c r="G23" s="3"/>
      <c r="H23" s="3"/>
      <c r="I23" s="3"/>
      <c r="J23" s="3"/>
    </row>
    <row r="24" spans="1:10">
      <c r="A24" s="8">
        <v>987650687</v>
      </c>
      <c r="B24" s="3">
        <v>1</v>
      </c>
      <c r="C24" s="3" t="s">
        <v>1365</v>
      </c>
      <c r="D24" s="3" t="s">
        <v>1325</v>
      </c>
      <c r="E24" s="3" t="s">
        <v>1366</v>
      </c>
      <c r="F24" s="3"/>
      <c r="G24" s="3"/>
      <c r="H24" s="3"/>
      <c r="I24" s="3"/>
      <c r="J24" s="3"/>
    </row>
    <row r="25" spans="1:10">
      <c r="A25" s="8">
        <v>987650688</v>
      </c>
      <c r="B25" s="3">
        <v>1</v>
      </c>
      <c r="C25" s="3" t="s">
        <v>1367</v>
      </c>
      <c r="D25" s="3" t="s">
        <v>1325</v>
      </c>
      <c r="E25" s="3" t="s">
        <v>1368</v>
      </c>
      <c r="F25" s="3"/>
      <c r="G25" s="3"/>
      <c r="H25" s="3"/>
      <c r="I25" s="3"/>
      <c r="J25" s="3"/>
    </row>
    <row r="26" spans="1:10">
      <c r="A26" s="8">
        <v>987650694</v>
      </c>
      <c r="B26" s="3">
        <v>1</v>
      </c>
      <c r="C26" s="3" t="s">
        <v>1369</v>
      </c>
      <c r="D26" s="3" t="s">
        <v>1325</v>
      </c>
      <c r="E26" s="3" t="s">
        <v>1370</v>
      </c>
      <c r="F26" s="3"/>
      <c r="G26" s="3"/>
      <c r="H26" s="3"/>
      <c r="I26" s="3"/>
      <c r="J26" s="3"/>
    </row>
    <row r="27" spans="1:10">
      <c r="A27" s="8">
        <v>987650697</v>
      </c>
      <c r="B27" s="3">
        <v>1</v>
      </c>
      <c r="C27" s="3" t="s">
        <v>1371</v>
      </c>
      <c r="D27" s="3" t="s">
        <v>1325</v>
      </c>
      <c r="E27" s="3" t="s">
        <v>1372</v>
      </c>
      <c r="F27" s="3"/>
      <c r="G27" s="3"/>
      <c r="H27" s="3"/>
      <c r="I27" s="3"/>
      <c r="J27" s="3"/>
    </row>
    <row r="28" spans="1:10">
      <c r="A28" s="8">
        <v>987650701</v>
      </c>
      <c r="B28" s="3">
        <v>1</v>
      </c>
      <c r="C28" s="3" t="s">
        <v>1373</v>
      </c>
      <c r="D28" s="3" t="s">
        <v>1325</v>
      </c>
      <c r="E28" s="3" t="s">
        <v>1374</v>
      </c>
      <c r="F28" s="3"/>
      <c r="G28" s="3"/>
      <c r="H28" s="3"/>
      <c r="I28" s="3"/>
      <c r="J28" s="3"/>
    </row>
    <row r="29" spans="1:10">
      <c r="A29" s="8">
        <v>987650702</v>
      </c>
      <c r="B29" s="3">
        <v>1</v>
      </c>
      <c r="C29" s="3" t="s">
        <v>1375</v>
      </c>
      <c r="D29" s="3" t="s">
        <v>1325</v>
      </c>
      <c r="E29" s="3" t="s">
        <v>1376</v>
      </c>
      <c r="F29" s="3"/>
      <c r="G29" s="3"/>
      <c r="H29" s="3"/>
      <c r="I29" s="3"/>
      <c r="J29" s="3"/>
    </row>
    <row r="30" spans="1:10">
      <c r="A30" s="8">
        <v>987650706</v>
      </c>
      <c r="B30" s="3">
        <v>1</v>
      </c>
      <c r="C30" s="3" t="s">
        <v>1377</v>
      </c>
      <c r="D30" s="3" t="s">
        <v>1325</v>
      </c>
      <c r="E30" s="3" t="s">
        <v>1378</v>
      </c>
      <c r="F30" s="3"/>
      <c r="G30" s="3"/>
      <c r="H30" s="3"/>
      <c r="I30" s="3"/>
      <c r="J30" s="3"/>
    </row>
    <row r="31" spans="1:10">
      <c r="A31" s="8">
        <v>986550482</v>
      </c>
      <c r="B31" s="3">
        <v>1</v>
      </c>
      <c r="C31" s="3" t="s">
        <v>1379</v>
      </c>
      <c r="D31" s="3" t="s">
        <v>1325</v>
      </c>
      <c r="E31" s="3" t="s">
        <v>1380</v>
      </c>
      <c r="F31" s="3"/>
      <c r="G31" s="3"/>
      <c r="H31" s="3"/>
      <c r="I31" s="3"/>
      <c r="J31" s="3"/>
    </row>
    <row r="32" spans="1:10">
      <c r="A32" s="8"/>
      <c r="B32" s="3">
        <v>12</v>
      </c>
      <c r="C32" s="3" t="s">
        <v>1381</v>
      </c>
      <c r="D32" s="3" t="s">
        <v>1325</v>
      </c>
      <c r="E32" s="3" t="s">
        <v>1382</v>
      </c>
      <c r="F32" s="3"/>
      <c r="G32" s="3"/>
      <c r="H32" s="3"/>
      <c r="I32" s="3"/>
      <c r="J32" s="3"/>
    </row>
    <row r="33" spans="1:10">
      <c r="A33" s="8">
        <v>882720421</v>
      </c>
      <c r="B33" s="3">
        <v>2</v>
      </c>
      <c r="C33" s="3" t="s">
        <v>1383</v>
      </c>
      <c r="D33" s="3" t="s">
        <v>1325</v>
      </c>
      <c r="E33" s="3" t="s">
        <v>1384</v>
      </c>
      <c r="F33" s="3"/>
      <c r="G33" s="3"/>
      <c r="H33" s="3"/>
      <c r="I33" s="3"/>
      <c r="J33" s="3"/>
    </row>
    <row r="34" spans="1:10">
      <c r="A34" s="8"/>
      <c r="B34" s="3">
        <v>4</v>
      </c>
      <c r="C34" s="3" t="s">
        <v>1385</v>
      </c>
      <c r="D34" s="3" t="s">
        <v>1325</v>
      </c>
      <c r="E34" s="3" t="s">
        <v>1386</v>
      </c>
      <c r="F34" s="3"/>
      <c r="G34" s="3"/>
      <c r="H34" s="3"/>
      <c r="I34" s="3"/>
      <c r="J34" s="3"/>
    </row>
    <row r="35" spans="1:10">
      <c r="A35" s="8">
        <v>987650526</v>
      </c>
      <c r="B35" s="3">
        <v>1</v>
      </c>
      <c r="C35" s="3" t="s">
        <v>1387</v>
      </c>
      <c r="D35" s="3" t="s">
        <v>1325</v>
      </c>
      <c r="E35" s="3" t="s">
        <v>1388</v>
      </c>
      <c r="F35" s="3"/>
      <c r="G35" s="3"/>
      <c r="H35" s="3"/>
      <c r="I35" s="3"/>
      <c r="J35" s="3"/>
    </row>
    <row r="36" spans="1:10">
      <c r="A36" s="8">
        <v>987650525</v>
      </c>
      <c r="B36" s="3">
        <v>1</v>
      </c>
      <c r="C36" s="3" t="s">
        <v>1389</v>
      </c>
      <c r="D36" s="3" t="s">
        <v>1325</v>
      </c>
      <c r="E36" s="3" t="s">
        <v>1390</v>
      </c>
      <c r="F36" s="3"/>
      <c r="G36" s="3"/>
      <c r="H36" s="3"/>
      <c r="I36" s="3"/>
      <c r="J36" s="3"/>
    </row>
    <row r="37" spans="1:10" ht="35.25" customHeight="1">
      <c r="A37" s="83" t="s">
        <v>96</v>
      </c>
      <c r="B37" s="83"/>
      <c r="C37" s="83"/>
      <c r="D37" s="83"/>
      <c r="E37" s="83"/>
      <c r="F37" s="83"/>
      <c r="G37" s="83"/>
      <c r="H37" s="83"/>
      <c r="I37" s="83"/>
      <c r="J37" s="83"/>
    </row>
  </sheetData>
  <mergeCells count="10">
    <mergeCell ref="A37:J37"/>
    <mergeCell ref="A1:E1"/>
    <mergeCell ref="F1:J1"/>
    <mergeCell ref="A2:A3"/>
    <mergeCell ref="B2:B3"/>
    <mergeCell ref="C2:C3"/>
    <mergeCell ref="D2:E2"/>
    <mergeCell ref="F2:G2"/>
    <mergeCell ref="H2:H3"/>
    <mergeCell ref="I2:J2"/>
  </mergeCells>
  <pageMargins left="0.7" right="0.7" top="0.75" bottom="0.75" header="0.3" footer="0.3"/>
  <pageSetup scale="79" fitToHeight="0" orientation="landscape" r:id="rId1"/>
  <headerFooter>
    <oddHeader>&amp;C&amp;"-,Bold"MIDLIFE OVERHAUL 2015-16- NEW FLYER XN40 (SR1947: 2830-2993)</oddHeader>
    <oddFooter>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EAFEA-6DD1-4B3E-A816-130E4644A9F9}">
  <dimension ref="A1:F22"/>
  <sheetViews>
    <sheetView workbookViewId="0">
      <selection activeCell="E19" sqref="E19"/>
    </sheetView>
  </sheetViews>
  <sheetFormatPr defaultRowHeight="14.45"/>
  <cols>
    <col min="1" max="2" width="13.5703125" customWidth="1"/>
    <col min="3" max="3" width="26" customWidth="1"/>
    <col min="4" max="4" width="13.42578125" customWidth="1"/>
    <col min="5" max="5" width="23.85546875" customWidth="1"/>
    <col min="6" max="6" width="21" customWidth="1"/>
  </cols>
  <sheetData>
    <row r="1" spans="1:6">
      <c r="A1" s="94"/>
      <c r="B1" s="96" t="s">
        <v>1391</v>
      </c>
      <c r="C1" s="96" t="s">
        <v>1392</v>
      </c>
      <c r="D1" s="94" t="s">
        <v>1393</v>
      </c>
      <c r="E1" s="94"/>
      <c r="F1" s="94"/>
    </row>
    <row r="2" spans="1:6">
      <c r="A2" s="94"/>
      <c r="B2" s="96"/>
      <c r="C2" s="96"/>
      <c r="D2" s="37" t="s">
        <v>1394</v>
      </c>
      <c r="E2" s="94" t="s">
        <v>148</v>
      </c>
      <c r="F2" s="94"/>
    </row>
    <row r="3" spans="1:6">
      <c r="A3" s="95" t="s">
        <v>1395</v>
      </c>
      <c r="B3" s="45" t="s">
        <v>1396</v>
      </c>
      <c r="C3" s="38" t="s">
        <v>1397</v>
      </c>
      <c r="D3" s="39"/>
      <c r="E3" s="38" t="s">
        <v>474</v>
      </c>
      <c r="F3" s="39" t="s">
        <v>1398</v>
      </c>
    </row>
    <row r="4" spans="1:6">
      <c r="A4" s="95"/>
      <c r="B4" s="45" t="s">
        <v>1399</v>
      </c>
      <c r="C4" s="38" t="s">
        <v>1400</v>
      </c>
      <c r="D4" s="39">
        <v>6359407</v>
      </c>
      <c r="E4" s="38" t="s">
        <v>1401</v>
      </c>
      <c r="F4" s="39" t="s">
        <v>1402</v>
      </c>
    </row>
    <row r="5" spans="1:6">
      <c r="A5" s="95"/>
      <c r="B5" s="45"/>
      <c r="C5" s="38" t="s">
        <v>1403</v>
      </c>
      <c r="D5" s="39">
        <v>351703</v>
      </c>
      <c r="E5" s="38" t="s">
        <v>267</v>
      </c>
      <c r="F5" s="39" t="s">
        <v>1404</v>
      </c>
    </row>
    <row r="6" spans="1:6">
      <c r="A6" s="95"/>
      <c r="B6" s="45"/>
      <c r="C6" s="38" t="s">
        <v>1405</v>
      </c>
      <c r="D6" s="39">
        <v>467659</v>
      </c>
      <c r="E6" s="38" t="s">
        <v>267</v>
      </c>
      <c r="F6" s="39" t="s">
        <v>1406</v>
      </c>
    </row>
    <row r="7" spans="1:6">
      <c r="A7" s="95"/>
      <c r="B7" s="45" t="s">
        <v>1407</v>
      </c>
      <c r="C7" s="38" t="s">
        <v>1408</v>
      </c>
      <c r="D7" s="39">
        <v>85468</v>
      </c>
      <c r="E7" s="38" t="s">
        <v>270</v>
      </c>
      <c r="F7" s="39" t="s">
        <v>1409</v>
      </c>
    </row>
    <row r="8" spans="1:6">
      <c r="A8" s="95"/>
      <c r="B8" s="45"/>
      <c r="C8" s="38" t="s">
        <v>559</v>
      </c>
      <c r="D8" s="39">
        <v>8410272</v>
      </c>
      <c r="E8" s="38" t="s">
        <v>270</v>
      </c>
      <c r="F8" s="39" t="s">
        <v>1410</v>
      </c>
    </row>
    <row r="9" spans="1:6">
      <c r="A9" s="95"/>
      <c r="B9" s="45" t="s">
        <v>1411</v>
      </c>
      <c r="C9" s="38" t="s">
        <v>1412</v>
      </c>
      <c r="D9" s="39">
        <v>5992220</v>
      </c>
      <c r="E9" s="38" t="s">
        <v>267</v>
      </c>
      <c r="F9" s="39" t="s">
        <v>1413</v>
      </c>
    </row>
    <row r="10" spans="1:6">
      <c r="A10" s="95"/>
      <c r="B10" s="45"/>
      <c r="C10" s="38" t="s">
        <v>1414</v>
      </c>
      <c r="D10" s="39">
        <v>280685</v>
      </c>
      <c r="E10" s="38" t="s">
        <v>267</v>
      </c>
      <c r="F10" s="39" t="s">
        <v>1415</v>
      </c>
    </row>
    <row r="11" spans="1:6">
      <c r="A11" s="95"/>
      <c r="B11" s="45"/>
      <c r="C11" s="38" t="s">
        <v>1416</v>
      </c>
      <c r="D11" s="39">
        <v>539938</v>
      </c>
      <c r="E11" s="38" t="s">
        <v>270</v>
      </c>
      <c r="F11" s="39" t="s">
        <v>1417</v>
      </c>
    </row>
    <row r="12" spans="1:6">
      <c r="A12" s="95"/>
      <c r="B12" s="45" t="s">
        <v>1418</v>
      </c>
      <c r="C12" s="38" t="s">
        <v>1419</v>
      </c>
      <c r="D12" s="39">
        <v>324399</v>
      </c>
      <c r="E12" s="38" t="s">
        <v>294</v>
      </c>
      <c r="F12" s="39" t="s">
        <v>1420</v>
      </c>
    </row>
    <row r="13" spans="1:6">
      <c r="A13" s="95"/>
      <c r="B13" s="45" t="s">
        <v>1421</v>
      </c>
      <c r="C13" s="38" t="s">
        <v>1422</v>
      </c>
      <c r="D13" s="39">
        <v>6335515</v>
      </c>
      <c r="E13" s="38" t="s">
        <v>270</v>
      </c>
      <c r="F13" s="39" t="s">
        <v>1423</v>
      </c>
    </row>
    <row r="14" spans="1:6">
      <c r="A14" s="95"/>
      <c r="B14" s="45" t="s">
        <v>1424</v>
      </c>
      <c r="C14" s="38" t="s">
        <v>1425</v>
      </c>
      <c r="D14" s="39">
        <v>8410079</v>
      </c>
      <c r="E14" s="38" t="s">
        <v>1426</v>
      </c>
      <c r="F14" s="39" t="s">
        <v>1427</v>
      </c>
    </row>
    <row r="15" spans="1:6">
      <c r="A15" s="95" t="s">
        <v>1428</v>
      </c>
      <c r="B15" s="45" t="s">
        <v>1429</v>
      </c>
      <c r="C15" s="38" t="s">
        <v>1430</v>
      </c>
      <c r="D15" s="40">
        <v>533916</v>
      </c>
      <c r="E15" s="38" t="s">
        <v>1431</v>
      </c>
      <c r="F15" s="39" t="s">
        <v>1432</v>
      </c>
    </row>
    <row r="16" spans="1:6">
      <c r="A16" s="95"/>
      <c r="B16" s="45"/>
      <c r="C16" s="38" t="s">
        <v>1433</v>
      </c>
      <c r="D16" s="39">
        <v>482842</v>
      </c>
      <c r="E16" s="38" t="s">
        <v>294</v>
      </c>
      <c r="F16" s="39" t="s">
        <v>1434</v>
      </c>
    </row>
    <row r="17" spans="1:6">
      <c r="A17" s="95"/>
      <c r="B17" s="45" t="s">
        <v>1435</v>
      </c>
      <c r="C17" s="38" t="s">
        <v>1436</v>
      </c>
      <c r="D17" s="39">
        <v>38047</v>
      </c>
      <c r="E17" s="38" t="s">
        <v>270</v>
      </c>
      <c r="F17" s="39" t="s">
        <v>1437</v>
      </c>
    </row>
    <row r="18" spans="1:6">
      <c r="A18" s="95"/>
      <c r="B18" s="45"/>
      <c r="C18" s="38" t="s">
        <v>1438</v>
      </c>
      <c r="D18" s="39">
        <v>5956098</v>
      </c>
      <c r="E18" s="38" t="s">
        <v>270</v>
      </c>
      <c r="F18" s="41" t="s">
        <v>1439</v>
      </c>
    </row>
    <row r="19" spans="1:6">
      <c r="A19" s="42" t="s">
        <v>1440</v>
      </c>
      <c r="B19" s="45"/>
      <c r="C19" s="38" t="s">
        <v>1441</v>
      </c>
      <c r="D19" s="39">
        <v>528578</v>
      </c>
      <c r="E19" s="43" t="s">
        <v>1442</v>
      </c>
      <c r="F19" s="41" t="s">
        <v>1443</v>
      </c>
    </row>
    <row r="20" spans="1:6">
      <c r="A20" s="96" t="s">
        <v>1444</v>
      </c>
      <c r="B20" s="44" t="s">
        <v>1445</v>
      </c>
      <c r="C20" s="38" t="s">
        <v>1446</v>
      </c>
      <c r="D20" s="39">
        <v>6486005</v>
      </c>
      <c r="E20" s="43" t="s">
        <v>1447</v>
      </c>
      <c r="F20" s="41" t="s">
        <v>1448</v>
      </c>
    </row>
    <row r="21" spans="1:6">
      <c r="A21" s="96"/>
      <c r="B21" s="44" t="s">
        <v>1449</v>
      </c>
      <c r="C21" s="38" t="s">
        <v>1450</v>
      </c>
      <c r="D21" s="39">
        <v>6486463</v>
      </c>
      <c r="E21" s="43" t="s">
        <v>1447</v>
      </c>
      <c r="F21" s="41" t="s">
        <v>1451</v>
      </c>
    </row>
    <row r="22" spans="1:6">
      <c r="A22" s="96"/>
      <c r="B22" s="45" t="s">
        <v>1452</v>
      </c>
      <c r="C22" s="38" t="s">
        <v>1453</v>
      </c>
      <c r="D22" s="39">
        <v>517431</v>
      </c>
      <c r="E22" s="43" t="s">
        <v>267</v>
      </c>
      <c r="F22" s="3"/>
    </row>
  </sheetData>
  <mergeCells count="8">
    <mergeCell ref="D1:F1"/>
    <mergeCell ref="E2:F2"/>
    <mergeCell ref="A3:A14"/>
    <mergeCell ref="A15:A18"/>
    <mergeCell ref="A20:A22"/>
    <mergeCell ref="A1:A2"/>
    <mergeCell ref="B1:B2"/>
    <mergeCell ref="C1:C2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70A93-41A1-4AFC-9BA7-D086989C3BEF}">
  <dimension ref="A1:E13"/>
  <sheetViews>
    <sheetView workbookViewId="0">
      <selection activeCell="K28" sqref="K28"/>
    </sheetView>
  </sheetViews>
  <sheetFormatPr defaultRowHeight="14.45"/>
  <cols>
    <col min="1" max="1" width="13.28515625" customWidth="1"/>
    <col min="2" max="2" width="6.5703125" customWidth="1"/>
    <col min="3" max="3" width="57.28515625" customWidth="1"/>
    <col min="5" max="5" width="15.85546875" customWidth="1"/>
  </cols>
  <sheetData>
    <row r="1" spans="1:5" ht="33.75" customHeight="1">
      <c r="A1" s="97" t="s">
        <v>1454</v>
      </c>
      <c r="B1" s="98"/>
      <c r="C1" s="98"/>
      <c r="D1" s="98"/>
      <c r="E1" s="98"/>
    </row>
    <row r="2" spans="1:5" ht="15" customHeight="1">
      <c r="A2" s="2" t="s">
        <v>1455</v>
      </c>
      <c r="B2" s="2" t="s">
        <v>43</v>
      </c>
      <c r="C2" s="46" t="s">
        <v>1392</v>
      </c>
      <c r="D2" s="2" t="s">
        <v>51</v>
      </c>
      <c r="E2" s="2" t="s">
        <v>52</v>
      </c>
    </row>
    <row r="3" spans="1:5">
      <c r="A3" s="8">
        <v>546052</v>
      </c>
      <c r="B3" s="8">
        <v>8</v>
      </c>
      <c r="C3" s="3" t="s">
        <v>1456</v>
      </c>
      <c r="D3" s="47"/>
      <c r="E3" s="48">
        <f>D3*B3</f>
        <v>0</v>
      </c>
    </row>
    <row r="4" spans="1:5">
      <c r="A4" s="8">
        <v>504779</v>
      </c>
      <c r="B4" s="8">
        <v>8</v>
      </c>
      <c r="C4" s="3" t="s">
        <v>1457</v>
      </c>
      <c r="D4" s="47"/>
      <c r="E4" s="48">
        <f t="shared" ref="E4:E13" si="0">D4*B4</f>
        <v>0</v>
      </c>
    </row>
    <row r="5" spans="1:5">
      <c r="A5" s="8">
        <v>440517</v>
      </c>
      <c r="B5" s="8">
        <v>4</v>
      </c>
      <c r="C5" s="3" t="s">
        <v>1458</v>
      </c>
      <c r="D5" s="47"/>
      <c r="E5" s="48">
        <f t="shared" si="0"/>
        <v>0</v>
      </c>
    </row>
    <row r="6" spans="1:5">
      <c r="A6" s="8">
        <v>393362</v>
      </c>
      <c r="B6" s="8">
        <v>1</v>
      </c>
      <c r="C6" s="3" t="s">
        <v>1459</v>
      </c>
      <c r="D6" s="47"/>
      <c r="E6" s="48">
        <f t="shared" si="0"/>
        <v>0</v>
      </c>
    </row>
    <row r="7" spans="1:5">
      <c r="A7" s="8">
        <v>392738</v>
      </c>
      <c r="B7" s="8">
        <v>1</v>
      </c>
      <c r="C7" s="3" t="s">
        <v>1460</v>
      </c>
      <c r="D7" s="47"/>
      <c r="E7" s="48">
        <f t="shared" si="0"/>
        <v>0</v>
      </c>
    </row>
    <row r="8" spans="1:5">
      <c r="A8" s="8">
        <v>6312877</v>
      </c>
      <c r="B8" s="8">
        <v>4</v>
      </c>
      <c r="C8" s="3" t="s">
        <v>1461</v>
      </c>
      <c r="D8" s="47"/>
      <c r="E8" s="48">
        <f t="shared" si="0"/>
        <v>0</v>
      </c>
    </row>
    <row r="9" spans="1:5">
      <c r="A9" s="8" t="s">
        <v>1462</v>
      </c>
      <c r="B9" s="8">
        <v>6</v>
      </c>
      <c r="C9" s="3" t="s">
        <v>1463</v>
      </c>
      <c r="D9" s="47"/>
      <c r="E9" s="48">
        <f t="shared" si="0"/>
        <v>0</v>
      </c>
    </row>
    <row r="10" spans="1:5">
      <c r="A10" s="8" t="s">
        <v>1464</v>
      </c>
      <c r="B10" s="8">
        <v>2</v>
      </c>
      <c r="C10" s="3" t="s">
        <v>1465</v>
      </c>
      <c r="D10" s="47"/>
      <c r="E10" s="48">
        <f t="shared" si="0"/>
        <v>0</v>
      </c>
    </row>
    <row r="11" spans="1:5">
      <c r="A11" s="8" t="s">
        <v>1466</v>
      </c>
      <c r="B11" s="8">
        <v>2</v>
      </c>
      <c r="C11" s="3" t="s">
        <v>1467</v>
      </c>
      <c r="D11" s="47"/>
      <c r="E11" s="48">
        <f t="shared" si="0"/>
        <v>0</v>
      </c>
    </row>
    <row r="12" spans="1:5">
      <c r="A12" s="8" t="s">
        <v>1468</v>
      </c>
      <c r="B12" s="8">
        <v>2</v>
      </c>
      <c r="C12" s="3" t="s">
        <v>1469</v>
      </c>
      <c r="D12" s="47"/>
      <c r="E12" s="48">
        <f t="shared" si="0"/>
        <v>0</v>
      </c>
    </row>
    <row r="13" spans="1:5">
      <c r="A13" s="49" t="s">
        <v>1470</v>
      </c>
      <c r="B13" s="8">
        <v>4</v>
      </c>
      <c r="C13" s="3" t="s">
        <v>1471</v>
      </c>
      <c r="D13" s="47"/>
      <c r="E13" s="48">
        <f t="shared" si="0"/>
        <v>0</v>
      </c>
    </row>
  </sheetData>
  <mergeCells count="1">
    <mergeCell ref="A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3DC4EAE8C40A4A8AD71A5DFDA80468" ma:contentTypeVersion="12" ma:contentTypeDescription="Create a new document." ma:contentTypeScope="" ma:versionID="510aa606e4542e291dda08e3a786563c">
  <xsd:schema xmlns:xsd="http://www.w3.org/2001/XMLSchema" xmlns:xs="http://www.w3.org/2001/XMLSchema" xmlns:p="http://schemas.microsoft.com/office/2006/metadata/properties" xmlns:ns2="c5b62cf1-768a-496e-baf3-d4a94dc1fc83" xmlns:ns3="00142ebe-c2e8-4177-bb83-524ad315549d" targetNamespace="http://schemas.microsoft.com/office/2006/metadata/properties" ma:root="true" ma:fieldsID="cd066cd8ce652d93a408d64fa1cb6215" ns2:_="" ns3:_="">
    <xsd:import namespace="c5b62cf1-768a-496e-baf3-d4a94dc1fc83"/>
    <xsd:import namespace="00142ebe-c2e8-4177-bb83-524ad31554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b62cf1-768a-496e-baf3-d4a94dc1fc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5d298e1-810f-4711-8be9-ef4702f2a3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142ebe-c2e8-4177-bb83-524ad315549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f7a913f-5993-468c-a8ce-7a0744709565}" ma:internalName="TaxCatchAll" ma:showField="CatchAllData" ma:web="00142ebe-c2e8-4177-bb83-524ad31554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142ebe-c2e8-4177-bb83-524ad315549d" xsi:nil="true"/>
    <lcf76f155ced4ddcb4097134ff3c332f xmlns="c5b62cf1-768a-496e-baf3-d4a94dc1fc8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A7BFFB-B09A-4450-8023-4C9F06BB4E80}"/>
</file>

<file path=customXml/itemProps2.xml><?xml version="1.0" encoding="utf-8"?>
<ds:datastoreItem xmlns:ds="http://schemas.openxmlformats.org/officeDocument/2006/customXml" ds:itemID="{D76EE42D-A36E-4646-8326-FEFB8258AC87}"/>
</file>

<file path=customXml/itemProps3.xml><?xml version="1.0" encoding="utf-8"?>
<ds:datastoreItem xmlns:ds="http://schemas.openxmlformats.org/officeDocument/2006/customXml" ds:itemID="{0F40B1C1-029A-4618-87A5-D922513F9A18}"/>
</file>

<file path=docMetadata/LabelInfo.xml><?xml version="1.0" encoding="utf-8"?>
<clbl:labelList xmlns:clbl="http://schemas.microsoft.com/office/2020/mipLabelMetadata">
  <clbl:label id="{59096ad9-8b60-446a-90b7-017dbb9421a3}" enabled="1" method="Standard" siteId="{3d234255-e20f-4205-88a5-9658a402999b}" removed="0"/>
  <clbl:label id="{ad5836f4-0d74-43cd-83c5-7e69eaa67915}" enabled="0" method="" siteId="{ad5836f4-0d74-43cd-83c5-7e69eaa6791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Singh, Jasvinder</dc:creator>
  <cp:keywords/>
  <dc:description/>
  <cp:lastModifiedBy>Gonneville, Jeffrey</cp:lastModifiedBy>
  <cp:revision/>
  <dcterms:created xsi:type="dcterms:W3CDTF">2024-05-23T09:48:51Z</dcterms:created>
  <dcterms:modified xsi:type="dcterms:W3CDTF">2025-03-24T15:59:18Z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0x010100E63DC4EAE8C40A4A8AD71A5DFDA80468</vt:lpwstr>
  </property>
  <property fmtid="{D5CDD505-2E9C-101B-9397-08002B2CF9AE}" pid="3" name="MediaServiceImageTags">
    <vt:lpwstr/>
  </property>
</Properties>
</file>
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shingtondcmetro-my.sharepoint.com/personal/dholland_wmata_com/Documents/BUS/HNTB HOMT Evaluation/"/>
    </mc:Choice>
  </mc:AlternateContent>
  <xr:revisionPtr revIDLastSave="16" documentId="13_ncr:1_{A8D44B34-E479-401B-A06A-1CBFDC445938}" xr6:coauthVersionLast="47" xr6:coauthVersionMax="47" xr10:uidLastSave="{E74FED72-DD78-4F10-B8DE-35892124E169}"/>
  <bookViews>
    <workbookView xWindow="-108" yWindow="-108" windowWidth="23256" windowHeight="12576" activeTab="2" xr2:uid="{5BDE844A-79AB-417F-A935-EE38BCF44075}"/>
  </bookViews>
  <sheets>
    <sheet name="Rehab 1946" sheetId="1" r:id="rId1"/>
    <sheet name="Rehab 1976" sheetId="2" r:id="rId2"/>
    <sheet name="MISC.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5" i="3" l="1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Q3" i="3"/>
  <c r="Q2" i="3"/>
</calcChain>
</file>

<file path=xl/sharedStrings.xml><?xml version="1.0" encoding="utf-8"?>
<sst xmlns="http://schemas.openxmlformats.org/spreadsheetml/2006/main" count="476" uniqueCount="271">
  <si>
    <t>ITEMNUM</t>
  </si>
  <si>
    <t>DESCRIPTION</t>
  </si>
  <si>
    <t>Comment</t>
  </si>
  <si>
    <t>PR</t>
  </si>
  <si>
    <t>PO</t>
  </si>
  <si>
    <t>PO Order Quantity</t>
  </si>
  <si>
    <t>On Hand Balances</t>
  </si>
  <si>
    <t>PO Quantity Received</t>
  </si>
  <si>
    <t>Quantity Left on PO</t>
  </si>
  <si>
    <t>B7300</t>
  </si>
  <si>
    <t>B7301</t>
  </si>
  <si>
    <t>B7302</t>
  </si>
  <si>
    <t>B7303</t>
  </si>
  <si>
    <t>B7304</t>
  </si>
  <si>
    <t>B7305</t>
  </si>
  <si>
    <t>B7306</t>
  </si>
  <si>
    <t>B7307</t>
  </si>
  <si>
    <t>B7308</t>
  </si>
  <si>
    <t>B7309</t>
  </si>
  <si>
    <t>B7310</t>
  </si>
  <si>
    <t>B7311</t>
  </si>
  <si>
    <t>B7312</t>
  </si>
  <si>
    <t>B7313</t>
  </si>
  <si>
    <t>B7314</t>
  </si>
  <si>
    <t>B7315</t>
  </si>
  <si>
    <t>B7316</t>
  </si>
  <si>
    <t>B7317</t>
  </si>
  <si>
    <t>B7318</t>
  </si>
  <si>
    <t>B7319</t>
  </si>
  <si>
    <t>B7320</t>
  </si>
  <si>
    <t>B7321</t>
  </si>
  <si>
    <t>B7322</t>
  </si>
  <si>
    <t>B7323</t>
  </si>
  <si>
    <t>B7324</t>
  </si>
  <si>
    <t>B7325</t>
  </si>
  <si>
    <t>B7326</t>
  </si>
  <si>
    <t>B7327</t>
  </si>
  <si>
    <t>B7328</t>
  </si>
  <si>
    <t>B7329</t>
  </si>
  <si>
    <t>B7330</t>
  </si>
  <si>
    <t>B7331</t>
  </si>
  <si>
    <t>B7332</t>
  </si>
  <si>
    <t>B7333</t>
  </si>
  <si>
    <t>B7334</t>
  </si>
  <si>
    <t>B7335</t>
  </si>
  <si>
    <t>B7336</t>
  </si>
  <si>
    <t>B7337</t>
  </si>
  <si>
    <t>B7338</t>
  </si>
  <si>
    <t>B7339</t>
  </si>
  <si>
    <t>B7340</t>
  </si>
  <si>
    <t>B7341</t>
  </si>
  <si>
    <t>B7342</t>
  </si>
  <si>
    <t>B7343</t>
  </si>
  <si>
    <t>B7344</t>
  </si>
  <si>
    <t>B7345</t>
  </si>
  <si>
    <t>B7346</t>
  </si>
  <si>
    <t>B7347</t>
  </si>
  <si>
    <t>B7348</t>
  </si>
  <si>
    <t>B7349</t>
  </si>
  <si>
    <t>B7350</t>
  </si>
  <si>
    <t>B7351</t>
  </si>
  <si>
    <t>B7352</t>
  </si>
  <si>
    <t>B7353</t>
  </si>
  <si>
    <t>B7354</t>
  </si>
  <si>
    <t>B7355</t>
  </si>
  <si>
    <t>KIT, HARNESS:</t>
  </si>
  <si>
    <t>02/06/25:</t>
  </si>
  <si>
    <t>145-(11)</t>
  </si>
  <si>
    <t>CALIPER KIT, BRAKE: MERITOR EX225 BRAKE CALIPER KIT FRONT AXLE, TYPE: NEW FLYER XCELSIOR 40? &amp; 60? BUSES</t>
  </si>
  <si>
    <t>01/28/25:</t>
  </si>
  <si>
    <t>110-(80)</t>
  </si>
  <si>
    <t>CALIPER KIT, BRAKE: MERITOR EX225 BRAKE CALIPER KIT REAR AXLE, TYPE: NEW FLYER X CELSIOR 40? &amp; 60? BUSES</t>
  </si>
  <si>
    <t>110-(49)</t>
  </si>
  <si>
    <t>ROTOR, BRAKE, LOCATION: FRONT, USED FOR FRONT AXLE DISK BRAKE</t>
  </si>
  <si>
    <t>110-(176)</t>
  </si>
  <si>
    <t>ROTOR, BRAKE, LOCATION: REAR, USED FOR: REAR DISK BRAKE</t>
  </si>
  <si>
    <t>SEAT-DRIVERS ERGO METRO AM80</t>
  </si>
  <si>
    <t>110-(30) , 145-(72)</t>
  </si>
  <si>
    <t>KIT: KIT MODESTY PANEL REAR; USED ON EXIT DOOR; INCLUDES ACRYLIC SHIELD</t>
  </si>
  <si>
    <t>145-(72)</t>
  </si>
  <si>
    <t>KIT: ALLISON HYBRID DRIVE REBUILD; USED ON: ALLISON EV40/EV50</t>
  </si>
  <si>
    <t>110-(87)</t>
  </si>
  <si>
    <t>KIT, REHAB: REHAB CL AXLE KIT (A) AFC; USED ON 7300-7355</t>
  </si>
  <si>
    <t>01/29/25: PO Receipt Complete</t>
  </si>
  <si>
    <t>145-(35)</t>
  </si>
  <si>
    <t>KIT, REHAB; REHAB BULKHEAD KIT (A) AFC; USED ON 7300-7355</t>
  </si>
  <si>
    <t>145-(42)</t>
  </si>
  <si>
    <t>KIT, REHAB; REHAB ENGINE BUILD UP KIT (A) AFC; USED ON 7300-7355</t>
  </si>
  <si>
    <t>145-(30)</t>
  </si>
  <si>
    <t>KIT, HOSE: KIT: HOSE HOMT-AFC, USED ON: 7300-7355</t>
  </si>
  <si>
    <t>KIT, REHAB; REHAB SMALL UNITS KIT (A) AFC; USED ON 7300-7355</t>
  </si>
  <si>
    <t>145-(33)</t>
  </si>
  <si>
    <t>KIT, REHAB; REHAB SMALL UNITS KIT (A) CTF; USED ON 7300-7355</t>
  </si>
  <si>
    <t>110-(34)</t>
  </si>
  <si>
    <t>KIT, REHAB; REHAB BODY SHOP KIT (A) AFC; USED ON 7300-7409</t>
  </si>
  <si>
    <t>KIT, CHASSIS LINE: KIT: CHASSIS LINE - AXLES HOMT-KIT (A) AFC, USED ON: 7356-740 9 SR1976</t>
  </si>
  <si>
    <t>02/12/25: PO Receipt Complete</t>
  </si>
  <si>
    <t>145-(54)</t>
  </si>
  <si>
    <t>KIT, ENGINE N.O.W. CPL 4536: KIT: ENGINE N.O.W. CPL 4526 SS-CTF, USED ON: 7300-7 355</t>
  </si>
  <si>
    <t>01/30/25: Part shortages at Cummins caused delay in shipping kits. EGR Coolers ( 843720021) had been on back order. Issues with BOM concerning tappit guide and b elts caused receipt delays. Issues have been resolved and Cummins is shipping ki ts. 01/30/25: Part shortages at Cummins caused delay in shipping kits. EGR Cool ers (843720021) had been on back order. Issues with BOM 01/28/25:</t>
  </si>
  <si>
    <t>110-(28)</t>
  </si>
  <si>
    <t>KIT, REHAB: REHAB BODY SHOP KIT (B) AFC; USED ON 7300 - 7355</t>
  </si>
  <si>
    <t>145-(18)</t>
  </si>
  <si>
    <t>KIT, REHAB: REHAB BODY SHOP KIT (D) AFC; USED ON 7300 - 7355</t>
  </si>
  <si>
    <t>KIT, REHAB: REHAB CL AXLE KIT (B) AFC; USED ON 7300 - 7355</t>
  </si>
  <si>
    <t>KIT, REHAB: REHAB CL AXLE KIT (C) AFC; USED ON 7300 - 7355</t>
  </si>
  <si>
    <t>KIT, REHAB: REHAB CL AXLE KIT (D) AFC; USED ON 7300 - 7355</t>
  </si>
  <si>
    <t>KIT, REHAB: REHAB CL AXLE KIT (E) AFC; USED ON 7300 - 7355</t>
  </si>
  <si>
    <t>0000067518 (56) APPR</t>
  </si>
  <si>
    <t>KIT, REHAB: REHAB CL AXLE KIT (F) AFC; USED ON 7300 - 7355</t>
  </si>
  <si>
    <t>145-(29)</t>
  </si>
  <si>
    <t>KIT, REHAB: REHAB BULKHEAD KIT (B) AFC; USED ON 7300 - 7355</t>
  </si>
  <si>
    <t>KIT, REHAB: REHAB BULKHEAD KIT (C) AFC; USED ON 7300 - 7355</t>
  </si>
  <si>
    <t>145-(36)</t>
  </si>
  <si>
    <t>KIT, REHAB: REHAB BULKHEAD KIT (D) AFC; USED ON 7300 - 7355</t>
  </si>
  <si>
    <t>KIT, REHAB: REHAB BULKHEAD KIT (E) AFC; USED ON 7300 - 7355</t>
  </si>
  <si>
    <t>KIT, REHAB: REHAB BULKHEAD KIT (F) AFC; USED ON 7300 - 7355</t>
  </si>
  <si>
    <t>02/04/25: Bill-of-Materials updated to Rev. 3. 01/30/25: Kits had been delayed due to shortage of elbow (842550062) in the BOM. Arrangements made to ship kits without the elbow. Change order complete. 01/28/25:</t>
  </si>
  <si>
    <t>145-(32)</t>
  </si>
  <si>
    <t>KIT, REHAB: REHAB ENGINE BUILD UP KIT (B) AFC; USED ON 7300 - 7355</t>
  </si>
  <si>
    <t>KIT, REHAB: REHAB SMALL UNITS KIT (B) AFC; USED ON 7300 - 7355</t>
  </si>
  <si>
    <t>145-(39)</t>
  </si>
  <si>
    <t>KIT, REHAB: REHAB SMALL UNITS KIT (D) AFC; USED ON 7300 - 7355</t>
  </si>
  <si>
    <t>KIT, REHAB: REHAB SMALL UNITS KIT (E) AFC; USED ON 7300 - 7355</t>
  </si>
  <si>
    <t>145-(31)</t>
  </si>
  <si>
    <t>KIT, REHAB: REHAB SMALL UNITS KIT (G) AFC; USED ON 7300 - 7355</t>
  </si>
  <si>
    <t>KIT, REHAB: REHAB SMALL UNITS KIT (H) AFC; USED ON 7300 - 7355</t>
  </si>
  <si>
    <t>145-(37)</t>
  </si>
  <si>
    <t>KIT, REHAB: REHAB SMALL UNITS KIT (I) AFC; USED ON 7300 - 7355</t>
  </si>
  <si>
    <t>145-(15)</t>
  </si>
  <si>
    <t>KIT, REHAB: REHAB SMALL UNITS KIT (J) AFC; USED ON 7300 - 7355</t>
  </si>
  <si>
    <t>KIT, REHAB: REHAB SMALL UNITS KIT (K) AFC; USED ON 7300 - 7355</t>
  </si>
  <si>
    <t>KIT, REHAB: REHAB SMALL UNITS KIT (L) AFC; USED ON 7300 - 7355</t>
  </si>
  <si>
    <t>KIT, REHAB: REHAB SMALL UNITS KIT (M) AFC; USED ON 7300 - 7355</t>
  </si>
  <si>
    <t>KIT, REHAB: REHAB SMALL UNITS KIT (N) AFC; USED ON 7300 - 7355</t>
  </si>
  <si>
    <t>145-(41)</t>
  </si>
  <si>
    <t>KIT, REHAB: REHAB SMALL UNITS KIT (O) AFC; USED ON 7300 - 7355</t>
  </si>
  <si>
    <t>145-(40)</t>
  </si>
  <si>
    <t>KIT, REHAB: REHAB SMALL UNITS KIT (B) CTF; USED ON 7300 - 7355</t>
  </si>
  <si>
    <t>KIT, REHAB: REHAB SMALL UNITS KIT (C) CTF; USED ON 7300 - 7355</t>
  </si>
  <si>
    <t>110-(17)</t>
  </si>
  <si>
    <t>KIT, REHAB: REHAB CL AXLE KIT (F) AFC; USED ON 7356 - 7409</t>
  </si>
  <si>
    <t>999ML0001</t>
  </si>
  <si>
    <t>KIT-REAR WHEEL AXLE WMATA SR1946/76</t>
  </si>
  <si>
    <t>02/04/25:</t>
  </si>
  <si>
    <t>824550907CAP</t>
  </si>
  <si>
    <t>COOLANT, LINE: STEEL BRAIDED COOLANT LINE CPR OUTLET TUBE: USED ON CUMMINS ISL E NGINES</t>
  </si>
  <si>
    <t>01/28/25: PO Receipt Complete</t>
  </si>
  <si>
    <t>110-(99)</t>
  </si>
  <si>
    <t>882700201CAP</t>
  </si>
  <si>
    <t>ASSEMBLY: DISPLAY MODULE; INSTRUMENT CLUSTER: USED ON NEW FLYER XCELSIOR</t>
  </si>
  <si>
    <t>900710785CAP</t>
  </si>
  <si>
    <t>STEERING SYSTEM-STEERING COLUMN COMPONENTS-HORN BRUSH KIT</t>
  </si>
  <si>
    <t>145-(102)</t>
  </si>
  <si>
    <t>973700021CAP</t>
  </si>
  <si>
    <t>RAMP WHEELCHAIR: WHEELCHAIR RAMP ASSEMBLY 32"</t>
  </si>
  <si>
    <t>145-(94)</t>
  </si>
  <si>
    <t>02/20/25: PO Receipt Complete.</t>
  </si>
  <si>
    <t xml:space="preserve">01/30/25: PO Receipt Complete. </t>
  </si>
  <si>
    <t xml:space="preserve">02/05/25: PO Receipt Complete. </t>
  </si>
  <si>
    <t xml:space="preserve">02/19/25: PO Receipt Complete. </t>
  </si>
  <si>
    <t xml:space="preserve">02/12/25: PO Receipt Complete </t>
  </si>
  <si>
    <t>01/30/25: PO Receipt Complete.</t>
  </si>
  <si>
    <t>LOCATION</t>
  </si>
  <si>
    <t>On Hand Quantity at Storeroom</t>
  </si>
  <si>
    <t>KIT, SMALL UNITS: KIT: SMALL UNITS SS-KIT (A) CTF, USED ON: 7356-7409 SR1976</t>
  </si>
  <si>
    <t>01/29/25: PO Receipt Complete.</t>
  </si>
  <si>
    <t>KIT, ENGINE N.O.W. CPL 4613: KIT: ENGINE N.O.W. CPL 4613 SS-CTF, USED ON: 7356-7 409</t>
  </si>
  <si>
    <t>01/29/25:</t>
  </si>
  <si>
    <t>KIT, REHAB: REHAB CL AXLE KIT (B) AFC; USED ON 7356 - 7409</t>
  </si>
  <si>
    <t>KIT, REHAB: REHAB CL AXLE KIT (D) AFC; USED ON 7356 - 7409</t>
  </si>
  <si>
    <t>KIT, REHAB: REHAB SMALL UNITS KIT (B) CTF; USED ON 7356 - 7409</t>
  </si>
  <si>
    <t>KIT, REHAB: REHAB SMALL UNITS KIT (C) CTF; USED ON 7356 - 7409</t>
  </si>
  <si>
    <t>KIT, BULKHEAD: KIT: BULKHEAD HOMT-KIT (A) AFC, USED ON: 7356-7409 SR1976</t>
  </si>
  <si>
    <t>KIT, ENGINE BUILD UP: KIT: ENGINE BUILD UP HOMT-KIT (A) AFC, USED ON: 7356-7409 SR1976</t>
  </si>
  <si>
    <t>01/29/25: PO Receipt complete.</t>
  </si>
  <si>
    <t>KIT, HOSE: KIT: HOSE HOMT-AFC, USED ON: 7356-7409</t>
  </si>
  <si>
    <t>KIT, SMALL UNITS: KIT: SMALL UNITS HOMT-KIT (A) AFC, USED ON: 7356-7409 SR1976</t>
  </si>
  <si>
    <t>KIT, REHAB: REHAB BODY SHOP KIT (B) AFC; USED ON 7356 - 7409</t>
  </si>
  <si>
    <t>KIT, REHAB: REHAB BODY SHOP KIT (C) AFC; USED ON 7356 - 7409</t>
  </si>
  <si>
    <t>KIT, REHAB: REHAB BODY SHOP KIT (D) AFC; USED ON 7356 - 7409</t>
  </si>
  <si>
    <t>KIT, REHAB: REHAB CL AXLE KIT (C) AFC; USED ON 7356 - 7409</t>
  </si>
  <si>
    <t>KIT, REHAB: REHAB CL AXLE KIT (E) AFC; USED ON 7356 - 7409</t>
  </si>
  <si>
    <t>KIT, REHAB: REHAB BULKHEAD KIT (B) AFC; USED ON 7356 - 7409</t>
  </si>
  <si>
    <t>KIT, REHAB: REHAB BULKHEAD KIT (C) AFC; USED ON 7356 - 7409</t>
  </si>
  <si>
    <t>KIT, REHAB: REHAB BULKHEAD KIT (D) AFC; USED ON 7356 - 7409</t>
  </si>
  <si>
    <t>KIT, REHAB: REHAB BULKHEAD KIT (E) AFC; USED ON 7356 - 7409</t>
  </si>
  <si>
    <t xml:space="preserve">01/29/25: PO Receipt Complete. </t>
  </si>
  <si>
    <t>KIT, REHAB: REHAB BULKHEAD KIT (F) AFC; USED ON 7356 - 7409</t>
  </si>
  <si>
    <t>KIT, REHAB: REHAB ENGINE BUILD UP KIT (B) AFC; USED ON 7356 - 7409</t>
  </si>
  <si>
    <t>KIT, REHAB: REHAB SMALL UNITS KIT (B) AFC; USED ON 7356 - 7409</t>
  </si>
  <si>
    <t>KIT, REHAB: REHAB SMALL UNITS KIT (D) AFC; USED ON 7356 - 7409</t>
  </si>
  <si>
    <t>KIT, REHAB: REHAB SMALL UNITS KIT (E) AFC; USED ON 7356 - 7409</t>
  </si>
  <si>
    <t>KIT, REHAB: REHAB SMALL UNITS KIT (G) AFC; USED ON 7356 - 7409</t>
  </si>
  <si>
    <t>KIT, REHAB: REHAB SMALL UNITS KIT (H) AFC; USED ON 7356 - 7409</t>
  </si>
  <si>
    <t>01/29/25: BOM Updated to Rev.1</t>
  </si>
  <si>
    <t>KIT, REHAB: REHAB SMALL UNITS KIT (I) AFC; USED ON 7356 - 7409</t>
  </si>
  <si>
    <t>KIT, REHAB: REHAB SMALL UNITS KIT (J) AFC; USED ON 7356 - 7409</t>
  </si>
  <si>
    <t>KIT, REHAB: REHAB SMALL UNITS KIT (K) AFC; USED ON 7356 - 7409</t>
  </si>
  <si>
    <t>0000068832 (54) APPR</t>
  </si>
  <si>
    <t>KIT, REHAB: REHAB SMALL UNITS KIT (L) AFC; USED ON 7356 - 7409</t>
  </si>
  <si>
    <t>KIT, REHAB: REHAB SMALL UNITS KIT (M) AFC; USED ON 7356 - 7409</t>
  </si>
  <si>
    <t>KIT, REHAB: REHAB SMALL UNITS KIT (N) AFC; USED ON 7356 - 7409</t>
  </si>
  <si>
    <t>KIT, REHAB: REHAB SMALL UNITS KIT (O) AFC; USED ON 7356 - 7409</t>
  </si>
  <si>
    <t>02/12/25: PO Receipt Complete.</t>
  </si>
  <si>
    <t>KIT, REHAB; REHAB BODY SHOP KIT (A) AFC; USED ON 7356-7409</t>
  </si>
  <si>
    <t>Station #</t>
  </si>
  <si>
    <t>WMATA Stock No.</t>
  </si>
  <si>
    <t>Item Description</t>
  </si>
  <si>
    <t>Supplier</t>
  </si>
  <si>
    <t>Contract</t>
  </si>
  <si>
    <t>Comments</t>
  </si>
  <si>
    <t>CLM No.</t>
  </si>
  <si>
    <t>Assigned</t>
  </si>
  <si>
    <t>PR No.</t>
  </si>
  <si>
    <t>PO Number</t>
  </si>
  <si>
    <t>PO/PR QTY.</t>
  </si>
  <si>
    <t>On Hand 400</t>
  </si>
  <si>
    <t>On Hand 145</t>
  </si>
  <si>
    <t>On Hand 110</t>
  </si>
  <si>
    <t>Ship Qty.</t>
  </si>
  <si>
    <t>QTY Rec on PO</t>
  </si>
  <si>
    <t>QTY Left on PO</t>
  </si>
  <si>
    <t>Assembly, Hose, Power Steering EQ2-10</t>
  </si>
  <si>
    <t>Aftermarket</t>
  </si>
  <si>
    <t>N/A</t>
  </si>
  <si>
    <t>PO Receipt complete</t>
  </si>
  <si>
    <t>Assembly, Hose, Power Steering EQ2-8</t>
  </si>
  <si>
    <t>NIPPLE, GREASE FITTING: LENGTH: 3/8" PT - 45 SAE</t>
  </si>
  <si>
    <t xml:space="preserve">01/10: Submitted CBMNT25116. </t>
  </si>
  <si>
    <t>M12-1.75 X 25MMISO 4017 CLASS 10.9 ZINC FINISH HEX CAP SCREW</t>
  </si>
  <si>
    <t>Fastenal</t>
  </si>
  <si>
    <t>M12 X 24MM OD DIN 125 GRADE HV200 ZINC FINISH STELL TYPE A GENERAL PURPOSE FLAT WASHER</t>
  </si>
  <si>
    <t>M12 DIN 127 MECHANICAL ZINC FINISH SPLIT LOCK WASHER</t>
  </si>
  <si>
    <t>CLAMP, V BAND:</t>
  </si>
  <si>
    <t>Cummins</t>
  </si>
  <si>
    <t>Compenstate for BOM for 999700200</t>
  </si>
  <si>
    <t>STRAP: STRAP, STANCHION ASSIST</t>
  </si>
  <si>
    <t>Muncie</t>
  </si>
  <si>
    <t>Using 6 per bus. 01/17: Requested expedite of qty. 300. Muncie can deliver by 2/24/25.</t>
  </si>
  <si>
    <t>HOSE, HVAC: HOSE, SILICONE 15MM I.D. X 4' LG</t>
  </si>
  <si>
    <t>Qty, 226 at Andrews not showing in Maximo inventory.</t>
  </si>
  <si>
    <t>Shift Selector Small Units (J-1)</t>
  </si>
  <si>
    <t>J&amp;T</t>
  </si>
  <si>
    <t>CLIP, SPRING, RETAINING, SEAT BOTTOM, SEAT BACK</t>
  </si>
  <si>
    <t>Gillig</t>
  </si>
  <si>
    <t>Jawad Atayee</t>
  </si>
  <si>
    <t>PLATE, CLIP, RETAINING, SEAT BOTTOM, SEAT BACK</t>
  </si>
  <si>
    <t>STUD:SEAT PAN,ORION</t>
  </si>
  <si>
    <t>SEAT:INSERT, HOOK</t>
  </si>
  <si>
    <t>HARNESS, WIRING: HARNESS, PROPULSION INTERIOR</t>
  </si>
  <si>
    <t>MX748821</t>
  </si>
  <si>
    <t>972701783CAP</t>
  </si>
  <si>
    <t>GAS SPRING STBLS 17-7/32"EXTND</t>
  </si>
  <si>
    <t>CBMNT25038</t>
  </si>
  <si>
    <t>Tina Gladney</t>
  </si>
  <si>
    <t>881550506CAP</t>
  </si>
  <si>
    <t>HARNESS,ENGINE COMPARTMENT OPTIONS</t>
  </si>
  <si>
    <t>Due Date: 05/02/25</t>
  </si>
  <si>
    <t>CBMNT25141</t>
  </si>
  <si>
    <t>Kabir Saka</t>
  </si>
  <si>
    <t>881550507CAP</t>
  </si>
  <si>
    <t>HARNESS, PROPULSION ENGINE</t>
  </si>
  <si>
    <t>CBMNT25142</t>
  </si>
  <si>
    <t>Fatima Ghaznavi</t>
  </si>
  <si>
    <t>881720641CAP</t>
  </si>
  <si>
    <t>HARNESS, CUMMINS ENGINE</t>
  </si>
  <si>
    <t>Due Date: 03/23/25</t>
  </si>
  <si>
    <t>Due Date: 05/30/25</t>
  </si>
  <si>
    <t>Balance possibly due to vendor on 03/07.</t>
  </si>
  <si>
    <t>Due Date: 04/30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</si>
</sst>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0000000000"/>
  </numFmts>
  <fonts count="3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9"/>
      <color rgb="FF464646"/>
      <name val="Calibri"/>
      <family val="2"/>
    </font>
    <font>
      <sz val="6"/>
      <color rgb="FF464646"/>
      <name val="MaximoBase"/>
    </font>
    <font>
      <sz val="6"/>
      <color theme="1"/>
      <name val="Aptos Narrow"/>
      <family val="2"/>
      <scheme val="minor"/>
    </font>
    <font>
      <sz val="9"/>
      <color rgb="FF464646"/>
      <name val="MaximoBase"/>
    </font>
    <font>
      <sz val="10"/>
      <name val="Aptos Narrow"/>
      <family val="2"/>
      <scheme val="minor"/>
    </font>
    <font>
      <sz val="10"/>
      <name val="Arial"/>
      <family val="2"/>
    </font>
    <font>
      <b/>
      <sz val="12"/>
      <color rgb="FFFF0000"/>
      <name val="Aptos Narrow"/>
      <family val="2"/>
      <scheme val="minor"/>
    </font>
    <font>
      <b/>
      <sz val="12"/>
      <name val="Aptos Narrow"/>
      <family val="2"/>
      <scheme val="minor"/>
    </font>
    <font>
      <sz val="9"/>
      <name val="MaximoBase"/>
    </font>
    <font>
      <sz val="9"/>
      <name val="Aptos Narrow"/>
      <family val="2"/>
      <scheme val="minor"/>
    </font>
    <font>
      <sz val="9"/>
      <color rgb="FF464646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3">
    <xf numFmtId="0" fontId="0" fillId="0" borderId="0" xfId="0"/>
    <xf numFmtId="0" fontId="0" fillId="0" borderId="10" xfId="0" applyBorder="1" applyAlignment="1">
      <alignment wrapText="1"/>
    </xf>
    <xf numFmtId="0" fontId="0" fillId="0" borderId="10" xfId="0" applyBorder="1" applyAlignment="1">
      <alignment horizontal="right" wrapText="1"/>
    </xf>
    <xf numFmtId="0" fontId="16" fillId="33" borderId="10" xfId="0" applyFont="1" applyFill="1" applyBorder="1" applyAlignment="1">
      <alignment horizontal="center" vertical="center" wrapText="1"/>
    </xf>
    <xf numFmtId="164" fontId="18" fillId="0" borderId="10" xfId="0" applyNumberFormat="1" applyFont="1" applyBorder="1" applyAlignment="1">
      <alignment wrapText="1"/>
    </xf>
    <xf numFmtId="0" fontId="18" fillId="0" borderId="0" xfId="0" applyFont="1"/>
    <xf numFmtId="0" fontId="19" fillId="33" borderId="10" xfId="0" applyFont="1" applyFill="1" applyBorder="1" applyAlignment="1">
      <alignment horizontal="center" vertical="center" wrapText="1"/>
    </xf>
    <xf numFmtId="0" fontId="0" fillId="33" borderId="11" xfId="0" applyFill="1" applyBorder="1" applyAlignment="1">
      <alignment horizontal="center" vertical="center" wrapText="1"/>
    </xf>
    <xf numFmtId="0" fontId="0" fillId="33" borderId="12" xfId="0" applyFill="1" applyBorder="1" applyAlignment="1">
      <alignment horizontal="center" vertical="center" wrapText="1"/>
    </xf>
    <xf numFmtId="0" fontId="20" fillId="33" borderId="12" xfId="0" applyFont="1" applyFill="1" applyBorder="1" applyAlignment="1">
      <alignment horizontal="center" vertical="center" wrapText="1"/>
    </xf>
    <xf numFmtId="0" fontId="21" fillId="33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wrapText="1"/>
    </xf>
    <xf numFmtId="0" fontId="0" fillId="0" borderId="14" xfId="0" applyBorder="1" applyAlignment="1">
      <alignment horizontal="center"/>
    </xf>
    <xf numFmtId="0" fontId="18" fillId="0" borderId="14" xfId="0" applyFont="1" applyBorder="1" applyAlignment="1">
      <alignment horizontal="left" vertical="center" wrapText="1"/>
    </xf>
    <xf numFmtId="0" fontId="20" fillId="0" borderId="14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165" fontId="20" fillId="0" borderId="14" xfId="0" applyNumberFormat="1" applyFont="1" applyBorder="1" applyAlignment="1">
      <alignment horizontal="center" vertical="center" wrapText="1"/>
    </xf>
    <xf numFmtId="165" fontId="0" fillId="0" borderId="14" xfId="0" applyNumberFormat="1" applyBorder="1" applyAlignment="1">
      <alignment horizontal="center"/>
    </xf>
    <xf numFmtId="0" fontId="21" fillId="34" borderId="14" xfId="0" applyFont="1" applyFill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/>
    </xf>
    <xf numFmtId="1" fontId="21" fillId="0" borderId="14" xfId="0" applyNumberFormat="1" applyFont="1" applyBorder="1" applyAlignment="1">
      <alignment horizontal="center" vertical="center"/>
    </xf>
    <xf numFmtId="0" fontId="0" fillId="35" borderId="0" xfId="0" applyFill="1"/>
    <xf numFmtId="0" fontId="14" fillId="0" borderId="14" xfId="0" applyFont="1" applyBorder="1" applyAlignment="1">
      <alignment horizontal="center" vertical="center"/>
    </xf>
    <xf numFmtId="0" fontId="22" fillId="0" borderId="0" xfId="0" applyFont="1"/>
    <xf numFmtId="165" fontId="0" fillId="0" borderId="14" xfId="0" applyNumberFormat="1" applyBorder="1" applyAlignment="1">
      <alignment vertical="center"/>
    </xf>
    <xf numFmtId="0" fontId="14" fillId="0" borderId="14" xfId="0" applyFont="1" applyBorder="1" applyAlignment="1">
      <alignment horizontal="center" vertical="center" wrapText="1"/>
    </xf>
    <xf numFmtId="0" fontId="23" fillId="0" borderId="14" xfId="0" applyFont="1" applyBorder="1"/>
    <xf numFmtId="0" fontId="24" fillId="36" borderId="14" xfId="0" applyFont="1" applyFill="1" applyBorder="1" applyAlignment="1">
      <alignment horizontal="left" vertical="top" wrapText="1"/>
    </xf>
    <xf numFmtId="0" fontId="23" fillId="0" borderId="0" xfId="0" applyFont="1"/>
    <xf numFmtId="165" fontId="0" fillId="0" borderId="14" xfId="0" applyNumberFormat="1" applyBorder="1"/>
    <xf numFmtId="0" fontId="25" fillId="0" borderId="14" xfId="0" applyFont="1" applyBorder="1" applyAlignment="1">
      <alignment vertical="center" wrapText="1"/>
    </xf>
    <xf numFmtId="0" fontId="26" fillId="0" borderId="14" xfId="0" applyFont="1" applyBorder="1" applyAlignment="1">
      <alignment horizontal="center"/>
    </xf>
    <xf numFmtId="165" fontId="26" fillId="0" borderId="14" xfId="0" applyNumberFormat="1" applyFont="1" applyBorder="1" applyAlignment="1">
      <alignment horizontal="center"/>
    </xf>
    <xf numFmtId="0" fontId="20" fillId="0" borderId="15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 wrapText="1"/>
    </xf>
    <xf numFmtId="165" fontId="20" fillId="0" borderId="14" xfId="0" applyNumberFormat="1" applyFont="1" applyBorder="1" applyAlignment="1">
      <alignment horizontal="center"/>
    </xf>
    <xf numFmtId="0" fontId="20" fillId="0" borderId="16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18" fillId="0" borderId="14" xfId="0" applyFont="1" applyBorder="1" applyAlignment="1">
      <alignment vertical="center" wrapText="1"/>
    </xf>
    <xf numFmtId="0" fontId="25" fillId="0" borderId="14" xfId="0" applyFont="1" applyBorder="1"/>
    <xf numFmtId="0" fontId="21" fillId="0" borderId="14" xfId="0" applyFont="1" applyBorder="1" applyAlignment="1">
      <alignment horizontal="center" vertical="center" wrapText="1"/>
    </xf>
    <xf numFmtId="0" fontId="21" fillId="0" borderId="14" xfId="0" applyFont="1" applyBorder="1" applyAlignment="1">
      <alignment vertical="center" wrapText="1"/>
    </xf>
    <xf numFmtId="165" fontId="26" fillId="0" borderId="14" xfId="0" applyNumberFormat="1" applyFont="1" applyBorder="1" applyAlignment="1">
      <alignment horizontal="center" vertical="center" wrapText="1"/>
    </xf>
    <xf numFmtId="3" fontId="0" fillId="0" borderId="14" xfId="0" applyNumberFormat="1" applyBorder="1" applyAlignment="1">
      <alignment horizont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7" fillId="0" borderId="14" xfId="0" applyFont="1" applyBorder="1" applyAlignment="1">
      <alignment horizontal="center" vertical="center" wrapText="1"/>
    </xf>
    <xf numFmtId="0" fontId="26" fillId="0" borderId="14" xfId="0" applyFont="1" applyBorder="1" applyAlignment="1">
      <alignment horizontal="center" wrapText="1"/>
    </xf>
    <xf numFmtId="0" fontId="14" fillId="0" borderId="17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wrapText="1"/>
    </xf>
    <xf numFmtId="0" fontId="29" fillId="0" borderId="14" xfId="0" applyFont="1" applyBorder="1" applyAlignment="1">
      <alignment horizontal="center" wrapText="1"/>
    </xf>
    <xf numFmtId="165" fontId="26" fillId="0" borderId="14" xfId="0" applyNumberFormat="1" applyFont="1" applyBorder="1" applyAlignment="1">
      <alignment horizontal="center" wrapText="1"/>
    </xf>
    <xf numFmtId="165" fontId="21" fillId="0" borderId="14" xfId="0" applyNumberFormat="1" applyFont="1" applyBorder="1"/>
    <xf numFmtId="0" fontId="21" fillId="0" borderId="14" xfId="0" applyFont="1" applyBorder="1" applyAlignment="1">
      <alignment horizontal="center" wrapText="1"/>
    </xf>
    <xf numFmtId="0" fontId="18" fillId="36" borderId="0" xfId="0" applyFont="1" applyFill="1" applyAlignment="1">
      <alignment horizontal="left" vertical="center" wrapText="1"/>
    </xf>
    <xf numFmtId="0" fontId="21" fillId="0" borderId="14" xfId="0" applyFont="1" applyBorder="1" applyAlignment="1">
      <alignment horizontal="center"/>
    </xf>
    <xf numFmtId="165" fontId="21" fillId="0" borderId="14" xfId="0" applyNumberFormat="1" applyFont="1" applyBorder="1" applyAlignment="1">
      <alignment horizontal="center"/>
    </xf>
    <xf numFmtId="0" fontId="21" fillId="0" borderId="14" xfId="0" applyFont="1" applyBorder="1"/>
    <xf numFmtId="0" fontId="30" fillId="0" borderId="0" xfId="0" applyFont="1"/>
    <xf numFmtId="0" fontId="31" fillId="0" borderId="14" xfId="0" applyFont="1" applyBorder="1" applyAlignment="1">
      <alignment vertical="center" wrapText="1"/>
    </xf>
    <xf numFmtId="0" fontId="0" fillId="0" borderId="14" xfId="0" applyBorder="1"/>
    <xf numFmtId="165" fontId="20" fillId="0" borderId="14" xfId="0" applyNumberFormat="1" applyFont="1" applyBorder="1"/>
    <xf numFmtId="0" fontId="14" fillId="34" borderId="14" xfId="0" applyFont="1" applyFill="1" applyBorder="1" applyAlignment="1">
      <alignment horizontal="center" vertical="center" wrapText="1"/>
    </xf>
    <xf numFmtId="0" fontId="32" fillId="0" borderId="14" xfId="0" applyFont="1" applyBorder="1" applyAlignment="1">
      <alignment vertical="center" wrapText="1"/>
    </xf>
    <xf numFmtId="0" fontId="14" fillId="34" borderId="14" xfId="0" applyFont="1" applyFill="1" applyBorder="1" applyAlignment="1">
      <alignment horizontal="center" wrapText="1"/>
    </xf>
    <xf numFmtId="0" fontId="14" fillId="0" borderId="14" xfId="0" applyFont="1" applyBorder="1" applyAlignment="1">
      <alignment horizontal="center"/>
    </xf>
    <xf numFmtId="0" fontId="21" fillId="34" borderId="14" xfId="0" applyFont="1" applyFill="1" applyBorder="1" applyAlignment="1">
      <alignment horizontal="center" wrapText="1"/>
    </xf>
    <xf numFmtId="0" fontId="21" fillId="0" borderId="0" xfId="0" applyFont="1"/>
    <xf numFmtId="0" fontId="21" fillId="34" borderId="14" xfId="0" applyFont="1" applyFill="1" applyBorder="1" applyAlignment="1">
      <alignment horizontal="center"/>
    </xf>
    <xf numFmtId="165" fontId="19" fillId="0" borderId="14" xfId="0" applyNumberFormat="1" applyFont="1" applyBorder="1"/>
    <xf numFmtId="0" fontId="14" fillId="34" borderId="14" xfId="0" applyFont="1" applyFill="1" applyBorder="1" applyAlignment="1">
      <alignment horizontal="center"/>
    </xf>
    <xf numFmtId="0" fontId="22" fillId="0" borderId="0" xfId="0" applyFont="1" applyAlignment="1">
      <alignment vertical="center" wrapText="1"/>
    </xf>
    <xf numFmtId="0" fontId="33" fillId="0" borderId="14" xfId="0" applyFont="1" applyBorder="1" applyAlignment="1">
      <alignment vertical="center" wrapText="1"/>
    </xf>
    <xf numFmtId="0" fontId="18" fillId="0" borderId="14" xfId="0" applyFont="1" applyBorder="1" applyAlignment="1">
      <alignment horizontal="center"/>
    </xf>
    <xf numFmtId="165" fontId="14" fillId="0" borderId="14" xfId="0" applyNumberFormat="1" applyFont="1" applyBorder="1"/>
    <xf numFmtId="0" fontId="32" fillId="0" borderId="14" xfId="0" applyFont="1" applyBorder="1"/>
    <xf numFmtId="0" fontId="18" fillId="0" borderId="14" xfId="0" applyFont="1" applyBorder="1" applyAlignment="1">
      <alignment horizontal="center" wrapText="1"/>
    </xf>
    <xf numFmtId="0" fontId="20" fillId="0" borderId="14" xfId="0" applyFont="1" applyBorder="1"/>
    <xf numFmtId="0" fontId="0" fillId="0" borderId="0" xfId="0" applyAlignment="1">
      <alignment vertical="center"/>
    </xf>
    <xf numFmtId="0" fontId="18" fillId="0" borderId="0" xfId="0" applyFont="1" applyAlignment="1">
      <alignment horizontal="center"/>
    </xf>
    <xf numFmtId="0" fontId="20" fillId="0" borderId="0" xfId="0" applyFont="1"/>
    <xf numFmtId="165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52D67-598F-497C-8A25-8A480200FF42}">
  <sheetPr>
    <tabColor rgb="FF0070C0"/>
  </sheetPr>
  <dimension ref="A1:BM51"/>
  <sheetViews>
    <sheetView showGridLines="0" zoomScale="75" zoomScaleNormal="75" workbookViewId="0">
      <selection activeCell="B17" sqref="B17"/>
    </sheetView>
  </sheetViews>
  <sheetFormatPr defaultRowHeight="14.4" x14ac:dyDescent="0.3"/>
  <cols>
    <col min="1" max="1" width="13.33203125" bestFit="1" customWidth="1"/>
    <col min="2" max="3" width="34.88671875" bestFit="1" customWidth="1"/>
    <col min="4" max="4" width="19.33203125" bestFit="1" customWidth="1"/>
    <col min="5" max="5" width="10.21875" customWidth="1"/>
    <col min="6" max="6" width="13" customWidth="1"/>
    <col min="7" max="7" width="16.109375" bestFit="1" customWidth="1"/>
    <col min="8" max="8" width="15.77734375" customWidth="1"/>
    <col min="9" max="9" width="13.77734375" customWidth="1"/>
    <col min="10" max="65" width="6.6640625" style="5" customWidth="1"/>
  </cols>
  <sheetData>
    <row r="1" spans="1:65" ht="28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</row>
    <row r="2" spans="1:65" x14ac:dyDescent="0.3">
      <c r="A2" s="1">
        <v>882720641</v>
      </c>
      <c r="B2" s="1" t="s">
        <v>65</v>
      </c>
      <c r="C2" s="1" t="s">
        <v>66</v>
      </c>
      <c r="D2" s="1"/>
      <c r="E2" s="1">
        <v>196289</v>
      </c>
      <c r="F2" s="1">
        <v>91</v>
      </c>
      <c r="G2" s="1" t="s">
        <v>67</v>
      </c>
      <c r="H2" s="1">
        <v>1</v>
      </c>
      <c r="I2" s="2">
        <v>90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>
        <v>45708</v>
      </c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>
        <v>45679</v>
      </c>
      <c r="BD2" s="4"/>
      <c r="BE2" s="4"/>
      <c r="BF2" s="4">
        <v>45638</v>
      </c>
      <c r="BG2" s="4"/>
      <c r="BH2" s="4"/>
      <c r="BI2" s="4">
        <v>45638</v>
      </c>
      <c r="BJ2" s="4">
        <v>45713</v>
      </c>
      <c r="BK2" s="4"/>
      <c r="BL2" s="4"/>
      <c r="BM2" s="4"/>
    </row>
    <row r="3" spans="1:65" ht="43.2" x14ac:dyDescent="0.3">
      <c r="A3" s="1">
        <v>921720288</v>
      </c>
      <c r="B3" s="1" t="s">
        <v>68</v>
      </c>
      <c r="C3" s="1" t="s">
        <v>157</v>
      </c>
      <c r="D3" s="1"/>
      <c r="E3" s="1"/>
      <c r="F3" s="1">
        <v>0</v>
      </c>
      <c r="G3" s="1" t="s">
        <v>70</v>
      </c>
      <c r="H3" s="1">
        <v>0</v>
      </c>
      <c r="I3" s="2">
        <v>0</v>
      </c>
      <c r="J3" s="4"/>
      <c r="K3" s="4"/>
      <c r="L3" s="4"/>
      <c r="M3" s="4">
        <v>45649</v>
      </c>
      <c r="N3" s="4"/>
      <c r="O3" s="4"/>
      <c r="P3" s="4"/>
      <c r="Q3" s="4">
        <v>45664</v>
      </c>
      <c r="R3" s="4">
        <v>45657</v>
      </c>
      <c r="S3" s="4"/>
      <c r="T3" s="4">
        <v>45657</v>
      </c>
      <c r="U3" s="4">
        <v>45665</v>
      </c>
      <c r="V3" s="4">
        <v>45645</v>
      </c>
      <c r="W3" s="4"/>
      <c r="X3" s="4"/>
      <c r="Y3" s="4">
        <v>45646</v>
      </c>
      <c r="Z3" s="4">
        <v>45680</v>
      </c>
      <c r="AA3" s="4"/>
      <c r="AB3" s="4"/>
      <c r="AC3" s="4">
        <v>45674</v>
      </c>
      <c r="AD3" s="4"/>
      <c r="AE3" s="4"/>
      <c r="AF3" s="4"/>
      <c r="AG3" s="4"/>
      <c r="AH3" s="4"/>
      <c r="AI3" s="4"/>
      <c r="AJ3" s="4">
        <v>45665</v>
      </c>
      <c r="AK3" s="4"/>
      <c r="AL3" s="4">
        <v>45609</v>
      </c>
      <c r="AM3" s="4"/>
      <c r="AN3" s="4"/>
      <c r="AO3" s="4"/>
      <c r="AP3" s="4"/>
      <c r="AQ3" s="4">
        <v>45673</v>
      </c>
      <c r="AR3" s="4"/>
      <c r="AS3" s="4"/>
      <c r="AT3" s="4"/>
      <c r="AU3" s="4"/>
      <c r="AV3" s="4"/>
      <c r="AW3" s="4"/>
      <c r="AX3" s="4"/>
      <c r="AY3" s="4"/>
      <c r="AZ3" s="4"/>
      <c r="BA3" s="4">
        <v>45642</v>
      </c>
      <c r="BB3" s="4"/>
      <c r="BC3" s="4">
        <v>45643</v>
      </c>
      <c r="BD3" s="4"/>
      <c r="BE3" s="4"/>
      <c r="BF3" s="4">
        <v>45616</v>
      </c>
      <c r="BG3" s="4">
        <v>45614</v>
      </c>
      <c r="BH3" s="4">
        <v>45639</v>
      </c>
      <c r="BI3" s="4">
        <v>45594</v>
      </c>
      <c r="BJ3" s="4">
        <v>45622</v>
      </c>
      <c r="BK3" s="4">
        <v>45623</v>
      </c>
      <c r="BL3" s="4">
        <v>45636</v>
      </c>
      <c r="BM3" s="4">
        <v>45636</v>
      </c>
    </row>
    <row r="4" spans="1:65" ht="43.2" x14ac:dyDescent="0.3">
      <c r="A4" s="1">
        <v>921720289</v>
      </c>
      <c r="B4" s="1" t="s">
        <v>71</v>
      </c>
      <c r="C4" s="1" t="s">
        <v>69</v>
      </c>
      <c r="D4" s="1"/>
      <c r="E4" s="1">
        <v>190815</v>
      </c>
      <c r="F4" s="1">
        <v>110</v>
      </c>
      <c r="G4" s="1" t="s">
        <v>72</v>
      </c>
      <c r="H4" s="1">
        <v>80</v>
      </c>
      <c r="I4" s="2">
        <v>30</v>
      </c>
      <c r="J4" s="4"/>
      <c r="K4" s="4"/>
      <c r="L4" s="4"/>
      <c r="M4" s="4">
        <v>45649</v>
      </c>
      <c r="N4" s="4"/>
      <c r="O4" s="4"/>
      <c r="P4" s="4"/>
      <c r="Q4" s="4">
        <v>45664</v>
      </c>
      <c r="R4" s="4">
        <v>45657</v>
      </c>
      <c r="S4" s="4"/>
      <c r="T4" s="4">
        <v>45657</v>
      </c>
      <c r="U4" s="4">
        <v>45665</v>
      </c>
      <c r="V4" s="4">
        <v>45645</v>
      </c>
      <c r="W4" s="4"/>
      <c r="X4" s="4"/>
      <c r="Y4" s="4">
        <v>45646</v>
      </c>
      <c r="Z4" s="4">
        <v>45680</v>
      </c>
      <c r="AA4" s="4"/>
      <c r="AB4" s="4"/>
      <c r="AC4" s="4">
        <v>45674</v>
      </c>
      <c r="AD4" s="4"/>
      <c r="AE4" s="4"/>
      <c r="AF4" s="4"/>
      <c r="AG4" s="4"/>
      <c r="AH4" s="4"/>
      <c r="AI4" s="4"/>
      <c r="AJ4" s="4">
        <v>45665</v>
      </c>
      <c r="AK4" s="4"/>
      <c r="AL4" s="4">
        <v>45609</v>
      </c>
      <c r="AM4" s="4"/>
      <c r="AN4" s="4"/>
      <c r="AO4" s="4"/>
      <c r="AP4" s="4"/>
      <c r="AQ4" s="4">
        <v>45673</v>
      </c>
      <c r="AR4" s="4"/>
      <c r="AS4" s="4"/>
      <c r="AT4" s="4"/>
      <c r="AU4" s="4"/>
      <c r="AV4" s="4"/>
      <c r="AW4" s="4"/>
      <c r="AX4" s="4"/>
      <c r="AY4" s="4"/>
      <c r="AZ4" s="4"/>
      <c r="BA4" s="4">
        <v>45642</v>
      </c>
      <c r="BB4" s="4"/>
      <c r="BC4" s="4">
        <v>45643</v>
      </c>
      <c r="BD4" s="4"/>
      <c r="BE4" s="4"/>
      <c r="BF4" s="4">
        <v>45616</v>
      </c>
      <c r="BG4" s="4">
        <v>45614</v>
      </c>
      <c r="BH4" s="4">
        <v>45639</v>
      </c>
      <c r="BI4" s="4">
        <v>45594</v>
      </c>
      <c r="BJ4" s="4">
        <v>45622</v>
      </c>
      <c r="BK4" s="4">
        <v>45623</v>
      </c>
      <c r="BL4" s="4">
        <v>45636</v>
      </c>
      <c r="BM4" s="4">
        <v>45636</v>
      </c>
    </row>
    <row r="5" spans="1:65" ht="28.8" x14ac:dyDescent="0.3">
      <c r="A5" s="1">
        <v>921720292</v>
      </c>
      <c r="B5" s="1" t="s">
        <v>73</v>
      </c>
      <c r="C5" s="1" t="s">
        <v>157</v>
      </c>
      <c r="D5" s="1"/>
      <c r="E5" s="1"/>
      <c r="F5" s="1">
        <v>0</v>
      </c>
      <c r="G5" s="1" t="s">
        <v>74</v>
      </c>
      <c r="H5" s="1">
        <v>0</v>
      </c>
      <c r="I5" s="2">
        <v>0</v>
      </c>
      <c r="J5" s="4"/>
      <c r="K5" s="4"/>
      <c r="L5" s="4"/>
      <c r="M5" s="4">
        <v>45649</v>
      </c>
      <c r="N5" s="4"/>
      <c r="O5" s="4"/>
      <c r="P5" s="4"/>
      <c r="Q5" s="4">
        <v>45664</v>
      </c>
      <c r="R5" s="4">
        <v>45657</v>
      </c>
      <c r="S5" s="4"/>
      <c r="T5" s="4">
        <v>45657</v>
      </c>
      <c r="U5" s="4">
        <v>45665</v>
      </c>
      <c r="V5" s="4">
        <v>45645</v>
      </c>
      <c r="W5" s="4"/>
      <c r="X5" s="4"/>
      <c r="Y5" s="4">
        <v>45646</v>
      </c>
      <c r="Z5" s="4">
        <v>45680</v>
      </c>
      <c r="AA5" s="4"/>
      <c r="AB5" s="4"/>
      <c r="AC5" s="4">
        <v>45674</v>
      </c>
      <c r="AD5" s="4"/>
      <c r="AE5" s="4"/>
      <c r="AF5" s="4"/>
      <c r="AG5" s="4"/>
      <c r="AH5" s="4"/>
      <c r="AI5" s="4"/>
      <c r="AJ5" s="4">
        <v>45665</v>
      </c>
      <c r="AK5" s="4"/>
      <c r="AL5" s="4">
        <v>45609</v>
      </c>
      <c r="AM5" s="4"/>
      <c r="AN5" s="4"/>
      <c r="AO5" s="4"/>
      <c r="AP5" s="4"/>
      <c r="AQ5" s="4">
        <v>45673</v>
      </c>
      <c r="AR5" s="4"/>
      <c r="AS5" s="4"/>
      <c r="AT5" s="4"/>
      <c r="AU5" s="4"/>
      <c r="AV5" s="4"/>
      <c r="AW5" s="4"/>
      <c r="AX5" s="4"/>
      <c r="AY5" s="4"/>
      <c r="AZ5" s="4"/>
      <c r="BA5" s="4">
        <v>45642</v>
      </c>
      <c r="BB5" s="4"/>
      <c r="BC5" s="4">
        <v>45643</v>
      </c>
      <c r="BD5" s="4"/>
      <c r="BE5" s="4"/>
      <c r="BF5" s="4">
        <v>45616</v>
      </c>
      <c r="BG5" s="4">
        <v>45614</v>
      </c>
      <c r="BH5" s="4">
        <v>45639</v>
      </c>
      <c r="BI5" s="4">
        <v>45594</v>
      </c>
      <c r="BJ5" s="4">
        <v>45622</v>
      </c>
      <c r="BK5" s="4">
        <v>45623</v>
      </c>
      <c r="BL5" s="4">
        <v>45636</v>
      </c>
      <c r="BM5" s="4">
        <v>45636</v>
      </c>
    </row>
    <row r="6" spans="1:65" ht="28.8" x14ac:dyDescent="0.3">
      <c r="A6" s="1">
        <v>921720293</v>
      </c>
      <c r="B6" s="1" t="s">
        <v>75</v>
      </c>
      <c r="C6" s="1" t="s">
        <v>158</v>
      </c>
      <c r="D6" s="1"/>
      <c r="E6" s="1"/>
      <c r="F6" s="1">
        <v>0</v>
      </c>
      <c r="G6" s="1" t="s">
        <v>74</v>
      </c>
      <c r="H6" s="1">
        <v>0</v>
      </c>
      <c r="I6" s="2">
        <v>0</v>
      </c>
      <c r="J6" s="4"/>
      <c r="K6" s="4"/>
      <c r="L6" s="4"/>
      <c r="M6" s="4">
        <v>45649</v>
      </c>
      <c r="N6" s="4"/>
      <c r="O6" s="4"/>
      <c r="P6" s="4"/>
      <c r="Q6" s="4">
        <v>45664</v>
      </c>
      <c r="R6" s="4">
        <v>45657</v>
      </c>
      <c r="S6" s="4"/>
      <c r="T6" s="4">
        <v>45657</v>
      </c>
      <c r="U6" s="4">
        <v>45665</v>
      </c>
      <c r="V6" s="4">
        <v>45645</v>
      </c>
      <c r="W6" s="4"/>
      <c r="X6" s="4"/>
      <c r="Y6" s="4">
        <v>45646</v>
      </c>
      <c r="Z6" s="4">
        <v>45680</v>
      </c>
      <c r="AA6" s="4"/>
      <c r="AB6" s="4"/>
      <c r="AC6" s="4">
        <v>45674</v>
      </c>
      <c r="AD6" s="4"/>
      <c r="AE6" s="4"/>
      <c r="AF6" s="4"/>
      <c r="AG6" s="4"/>
      <c r="AH6" s="4"/>
      <c r="AI6" s="4"/>
      <c r="AJ6" s="4">
        <v>45665</v>
      </c>
      <c r="AK6" s="4"/>
      <c r="AL6" s="4">
        <v>45609</v>
      </c>
      <c r="AM6" s="4"/>
      <c r="AN6" s="4"/>
      <c r="AO6" s="4"/>
      <c r="AP6" s="4"/>
      <c r="AQ6" s="4">
        <v>45673</v>
      </c>
      <c r="AR6" s="4"/>
      <c r="AS6" s="4"/>
      <c r="AT6" s="4"/>
      <c r="AU6" s="4"/>
      <c r="AV6" s="4"/>
      <c r="AW6" s="4"/>
      <c r="AX6" s="4"/>
      <c r="AY6" s="4"/>
      <c r="AZ6" s="4"/>
      <c r="BA6" s="4">
        <v>45642</v>
      </c>
      <c r="BB6" s="4"/>
      <c r="BC6" s="4">
        <v>45643</v>
      </c>
      <c r="BD6" s="4"/>
      <c r="BE6" s="4"/>
      <c r="BF6" s="4">
        <v>45616</v>
      </c>
      <c r="BG6" s="4">
        <v>45614</v>
      </c>
      <c r="BH6" s="4">
        <v>45639</v>
      </c>
      <c r="BI6" s="4">
        <v>45594</v>
      </c>
      <c r="BJ6" s="4">
        <v>45622</v>
      </c>
      <c r="BK6" s="4">
        <v>45623</v>
      </c>
      <c r="BL6" s="4">
        <v>45636</v>
      </c>
      <c r="BM6" s="4">
        <v>45636</v>
      </c>
    </row>
    <row r="7" spans="1:65" x14ac:dyDescent="0.3">
      <c r="A7" s="1">
        <v>972560518</v>
      </c>
      <c r="B7" s="1" t="s">
        <v>76</v>
      </c>
      <c r="C7" s="1" t="s">
        <v>69</v>
      </c>
      <c r="D7" s="1"/>
      <c r="E7" s="1"/>
      <c r="F7" s="1">
        <v>0</v>
      </c>
      <c r="G7" s="1" t="s">
        <v>77</v>
      </c>
      <c r="H7" s="1">
        <v>0</v>
      </c>
      <c r="I7" s="2">
        <v>0</v>
      </c>
      <c r="J7" s="4"/>
      <c r="K7" s="4"/>
      <c r="L7" s="4"/>
      <c r="M7" s="4"/>
      <c r="N7" s="4"/>
      <c r="O7" s="4"/>
      <c r="P7" s="4"/>
      <c r="Q7" s="4">
        <v>45712</v>
      </c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>
        <v>45712</v>
      </c>
      <c r="AK7" s="4"/>
      <c r="AL7" s="4">
        <v>45681</v>
      </c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>
        <v>45666</v>
      </c>
      <c r="BH7" s="4"/>
      <c r="BI7" s="4">
        <v>45602</v>
      </c>
      <c r="BJ7" s="4"/>
      <c r="BK7" s="4">
        <v>45672</v>
      </c>
      <c r="BL7" s="4"/>
      <c r="BM7" s="4">
        <v>45681</v>
      </c>
    </row>
    <row r="8" spans="1:65" ht="28.8" x14ac:dyDescent="0.3">
      <c r="A8" s="1">
        <v>972722992</v>
      </c>
      <c r="B8" s="1" t="s">
        <v>78</v>
      </c>
      <c r="C8" s="1" t="s">
        <v>158</v>
      </c>
      <c r="D8" s="1"/>
      <c r="E8" s="1"/>
      <c r="F8" s="1">
        <v>0</v>
      </c>
      <c r="G8" s="1" t="s">
        <v>79</v>
      </c>
      <c r="H8" s="1">
        <v>0</v>
      </c>
      <c r="I8" s="2">
        <v>0</v>
      </c>
      <c r="J8" s="4"/>
      <c r="K8" s="4"/>
      <c r="L8" s="4"/>
      <c r="M8" s="4"/>
      <c r="N8" s="4"/>
      <c r="O8" s="4"/>
      <c r="P8" s="4"/>
      <c r="Q8" s="4">
        <v>45712</v>
      </c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>
        <v>45712</v>
      </c>
      <c r="AK8" s="4"/>
      <c r="AL8" s="4">
        <v>45681</v>
      </c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>
        <v>45666</v>
      </c>
      <c r="BH8" s="4"/>
      <c r="BI8" s="4">
        <v>45623</v>
      </c>
      <c r="BJ8" s="4"/>
      <c r="BK8" s="4">
        <v>45672</v>
      </c>
      <c r="BL8" s="4"/>
      <c r="BM8" s="4">
        <v>45681</v>
      </c>
    </row>
    <row r="9" spans="1:65" ht="28.8" x14ac:dyDescent="0.3">
      <c r="A9" s="1">
        <v>999460004</v>
      </c>
      <c r="B9" s="1" t="s">
        <v>80</v>
      </c>
      <c r="C9" s="1" t="s">
        <v>159</v>
      </c>
      <c r="D9" s="1"/>
      <c r="E9" s="1"/>
      <c r="F9" s="1">
        <v>0</v>
      </c>
      <c r="G9" s="1" t="s">
        <v>81</v>
      </c>
      <c r="H9" s="1">
        <v>0</v>
      </c>
      <c r="I9" s="2">
        <v>0</v>
      </c>
      <c r="J9" s="4"/>
      <c r="K9" s="4"/>
      <c r="L9" s="4"/>
      <c r="M9" s="4">
        <v>45637</v>
      </c>
      <c r="N9" s="4"/>
      <c r="O9" s="4"/>
      <c r="P9" s="4"/>
      <c r="Q9" s="4"/>
      <c r="R9" s="4">
        <v>45642</v>
      </c>
      <c r="S9" s="4"/>
      <c r="T9" s="4">
        <v>45642</v>
      </c>
      <c r="U9" s="4"/>
      <c r="V9" s="4">
        <v>45632</v>
      </c>
      <c r="W9" s="4"/>
      <c r="X9" s="4"/>
      <c r="Y9" s="4">
        <v>45635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>
        <v>45629</v>
      </c>
      <c r="BB9" s="4"/>
      <c r="BC9" s="4">
        <v>45632</v>
      </c>
      <c r="BD9" s="4"/>
      <c r="BE9" s="4"/>
      <c r="BF9" s="4">
        <v>45617</v>
      </c>
      <c r="BG9" s="4"/>
      <c r="BH9" s="4">
        <v>45628</v>
      </c>
      <c r="BI9" s="4"/>
      <c r="BJ9" s="4">
        <v>45614</v>
      </c>
      <c r="BK9" s="4">
        <v>45616</v>
      </c>
      <c r="BL9" s="4">
        <v>45628</v>
      </c>
      <c r="BM9" s="4">
        <v>45628</v>
      </c>
    </row>
    <row r="10" spans="1:65" ht="28.8" x14ac:dyDescent="0.3">
      <c r="A10" s="1">
        <v>999700143</v>
      </c>
      <c r="B10" s="1" t="s">
        <v>82</v>
      </c>
      <c r="C10" s="1" t="s">
        <v>83</v>
      </c>
      <c r="D10" s="1"/>
      <c r="E10" s="1"/>
      <c r="F10" s="1">
        <v>0</v>
      </c>
      <c r="G10" s="1" t="s">
        <v>84</v>
      </c>
      <c r="H10" s="1">
        <v>0</v>
      </c>
      <c r="I10" s="2">
        <v>0</v>
      </c>
      <c r="J10" s="4"/>
      <c r="K10" s="4"/>
      <c r="L10" s="4"/>
      <c r="M10" s="4">
        <v>45652</v>
      </c>
      <c r="N10" s="4"/>
      <c r="O10" s="4"/>
      <c r="P10" s="4"/>
      <c r="Q10" s="4">
        <v>45663</v>
      </c>
      <c r="R10" s="4">
        <v>45656</v>
      </c>
      <c r="S10" s="4"/>
      <c r="T10" s="4">
        <v>45660</v>
      </c>
      <c r="U10" s="4">
        <v>45670</v>
      </c>
      <c r="V10" s="4">
        <v>45643</v>
      </c>
      <c r="W10" s="4"/>
      <c r="X10" s="4"/>
      <c r="Y10" s="4">
        <v>45643</v>
      </c>
      <c r="Z10" s="4">
        <v>45672</v>
      </c>
      <c r="AA10" s="4"/>
      <c r="AB10" s="4"/>
      <c r="AC10" s="4"/>
      <c r="AD10" s="4"/>
      <c r="AE10" s="4"/>
      <c r="AF10" s="4"/>
      <c r="AG10" s="4"/>
      <c r="AH10" s="4"/>
      <c r="AI10" s="4"/>
      <c r="AJ10" s="4">
        <v>45665</v>
      </c>
      <c r="AK10" s="4"/>
      <c r="AL10" s="4">
        <v>45610</v>
      </c>
      <c r="AM10" s="4"/>
      <c r="AN10" s="4"/>
      <c r="AO10" s="4"/>
      <c r="AP10" s="4"/>
      <c r="AQ10" s="4">
        <v>45679</v>
      </c>
      <c r="AR10" s="4"/>
      <c r="AS10" s="4"/>
      <c r="AT10" s="4"/>
      <c r="AU10" s="4"/>
      <c r="AV10" s="4"/>
      <c r="AW10" s="4"/>
      <c r="AX10" s="4"/>
      <c r="AY10" s="4"/>
      <c r="AZ10" s="4"/>
      <c r="BA10" s="4">
        <v>45635</v>
      </c>
      <c r="BB10" s="4"/>
      <c r="BC10" s="4">
        <v>45635</v>
      </c>
      <c r="BD10" s="4"/>
      <c r="BE10" s="4"/>
      <c r="BF10" s="4">
        <v>45629</v>
      </c>
      <c r="BG10" s="4">
        <v>45610</v>
      </c>
      <c r="BH10" s="4">
        <v>45629</v>
      </c>
      <c r="BI10" s="4">
        <v>45595</v>
      </c>
      <c r="BJ10" s="4">
        <v>45618</v>
      </c>
      <c r="BK10" s="4">
        <v>45614</v>
      </c>
      <c r="BL10" s="4">
        <v>45622</v>
      </c>
      <c r="BM10" s="4">
        <v>45622</v>
      </c>
    </row>
    <row r="11" spans="1:65" ht="28.8" x14ac:dyDescent="0.3">
      <c r="A11" s="1">
        <v>999700144</v>
      </c>
      <c r="B11" s="1" t="s">
        <v>85</v>
      </c>
      <c r="C11" s="1" t="s">
        <v>160</v>
      </c>
      <c r="D11" s="1"/>
      <c r="E11" s="1"/>
      <c r="F11" s="1">
        <v>0</v>
      </c>
      <c r="G11" s="1" t="s">
        <v>86</v>
      </c>
      <c r="H11" s="1">
        <v>0</v>
      </c>
      <c r="I11" s="2">
        <v>0</v>
      </c>
      <c r="J11" s="4"/>
      <c r="K11" s="4"/>
      <c r="L11" s="4"/>
      <c r="M11" s="4"/>
      <c r="N11" s="4"/>
      <c r="O11" s="4"/>
      <c r="P11" s="4"/>
      <c r="Q11" s="4"/>
      <c r="R11" s="4">
        <v>45684</v>
      </c>
      <c r="S11" s="4"/>
      <c r="T11" s="4"/>
      <c r="U11" s="4"/>
      <c r="V11" s="4">
        <v>45678</v>
      </c>
      <c r="W11" s="4"/>
      <c r="X11" s="4"/>
      <c r="Y11" s="4">
        <v>45674</v>
      </c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>
        <v>45623</v>
      </c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>
        <v>45660</v>
      </c>
      <c r="BB11" s="4"/>
      <c r="BC11" s="4">
        <v>45667</v>
      </c>
      <c r="BD11" s="4"/>
      <c r="BE11" s="4"/>
      <c r="BF11" s="4">
        <v>45646</v>
      </c>
      <c r="BG11" s="4">
        <v>45625</v>
      </c>
      <c r="BH11" s="4">
        <v>45656</v>
      </c>
      <c r="BI11" s="4">
        <v>45593</v>
      </c>
      <c r="BJ11" s="4">
        <v>45635</v>
      </c>
      <c r="BK11" s="4">
        <v>45632</v>
      </c>
      <c r="BL11" s="4">
        <v>45639</v>
      </c>
      <c r="BM11" s="4">
        <v>45638</v>
      </c>
    </row>
    <row r="12" spans="1:65" ht="28.8" x14ac:dyDescent="0.3">
      <c r="A12" s="1">
        <v>999700145</v>
      </c>
      <c r="B12" s="1" t="s">
        <v>87</v>
      </c>
      <c r="C12" s="1" t="s">
        <v>69</v>
      </c>
      <c r="D12" s="1"/>
      <c r="E12" s="1">
        <v>187571</v>
      </c>
      <c r="F12" s="1">
        <v>56</v>
      </c>
      <c r="G12" s="1" t="s">
        <v>88</v>
      </c>
      <c r="H12" s="1">
        <v>50</v>
      </c>
      <c r="I12" s="2">
        <v>6</v>
      </c>
      <c r="J12" s="4"/>
      <c r="K12" s="4"/>
      <c r="L12" s="4"/>
      <c r="M12" s="4">
        <v>45642</v>
      </c>
      <c r="N12" s="4"/>
      <c r="O12" s="4"/>
      <c r="P12" s="4"/>
      <c r="Q12" s="4">
        <v>45656</v>
      </c>
      <c r="R12" s="4">
        <v>45646</v>
      </c>
      <c r="S12" s="4"/>
      <c r="T12" s="4">
        <v>45656</v>
      </c>
      <c r="U12" s="4">
        <v>45663</v>
      </c>
      <c r="V12" s="4">
        <v>45637</v>
      </c>
      <c r="W12" s="4"/>
      <c r="X12" s="4"/>
      <c r="Y12" s="4">
        <v>45637</v>
      </c>
      <c r="Z12" s="4">
        <v>45663</v>
      </c>
      <c r="AA12" s="4"/>
      <c r="AB12" s="4"/>
      <c r="AC12" s="4"/>
      <c r="AD12" s="4"/>
      <c r="AE12" s="4"/>
      <c r="AF12" s="4"/>
      <c r="AG12" s="4"/>
      <c r="AH12" s="4"/>
      <c r="AI12" s="4"/>
      <c r="AJ12" s="4">
        <v>45656</v>
      </c>
      <c r="AK12" s="4"/>
      <c r="AL12" s="4">
        <v>45618</v>
      </c>
      <c r="AM12" s="4"/>
      <c r="AN12" s="4"/>
      <c r="AO12" s="4"/>
      <c r="AP12" s="4"/>
      <c r="AQ12" s="4">
        <v>45667</v>
      </c>
      <c r="AR12" s="4"/>
      <c r="AS12" s="4"/>
      <c r="AT12" s="4"/>
      <c r="AU12" s="4"/>
      <c r="AV12" s="4"/>
      <c r="AW12" s="4"/>
      <c r="AX12" s="4"/>
      <c r="AY12" s="4"/>
      <c r="AZ12" s="4"/>
      <c r="BA12" s="4">
        <v>45636</v>
      </c>
      <c r="BB12" s="4"/>
      <c r="BC12" s="4">
        <v>45632</v>
      </c>
      <c r="BD12" s="4"/>
      <c r="BE12" s="4"/>
      <c r="BF12" s="4">
        <v>45636</v>
      </c>
      <c r="BG12" s="4">
        <v>45618</v>
      </c>
      <c r="BH12" s="4">
        <v>45636</v>
      </c>
      <c r="BI12" s="4">
        <v>45594</v>
      </c>
      <c r="BJ12" s="4">
        <v>45630</v>
      </c>
      <c r="BK12" s="4"/>
      <c r="BL12" s="4">
        <v>45636</v>
      </c>
      <c r="BM12" s="4">
        <v>45630</v>
      </c>
    </row>
    <row r="13" spans="1:65" ht="28.8" x14ac:dyDescent="0.3">
      <c r="A13" s="1">
        <v>999700146</v>
      </c>
      <c r="B13" s="1" t="s">
        <v>89</v>
      </c>
      <c r="C13" s="1" t="s">
        <v>161</v>
      </c>
      <c r="D13" s="1"/>
      <c r="E13" s="1"/>
      <c r="F13" s="1">
        <v>0</v>
      </c>
      <c r="G13" s="1" t="s">
        <v>86</v>
      </c>
      <c r="H13" s="1">
        <v>0</v>
      </c>
      <c r="I13" s="2">
        <v>0</v>
      </c>
      <c r="J13" s="4"/>
      <c r="K13" s="4"/>
      <c r="L13" s="4"/>
      <c r="M13" s="4"/>
      <c r="N13" s="4"/>
      <c r="O13" s="4"/>
      <c r="P13" s="4"/>
      <c r="Q13" s="4"/>
      <c r="R13" s="4">
        <v>45684</v>
      </c>
      <c r="S13" s="4"/>
      <c r="T13" s="4"/>
      <c r="U13" s="4"/>
      <c r="V13" s="4">
        <v>45678</v>
      </c>
      <c r="W13" s="4"/>
      <c r="X13" s="4"/>
      <c r="Y13" s="4">
        <v>45674</v>
      </c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>
        <v>45623</v>
      </c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>
        <v>45660</v>
      </c>
      <c r="BB13" s="4"/>
      <c r="BC13" s="4">
        <v>45667</v>
      </c>
      <c r="BD13" s="4"/>
      <c r="BE13" s="4"/>
      <c r="BF13" s="4">
        <v>45646</v>
      </c>
      <c r="BG13" s="4">
        <v>45625</v>
      </c>
      <c r="BH13" s="4">
        <v>45656</v>
      </c>
      <c r="BI13" s="4">
        <v>45594</v>
      </c>
      <c r="BJ13" s="4">
        <v>45635</v>
      </c>
      <c r="BK13" s="4">
        <v>45632</v>
      </c>
      <c r="BL13" s="4">
        <v>45639</v>
      </c>
      <c r="BM13" s="4">
        <v>45638</v>
      </c>
    </row>
    <row r="14" spans="1:65" ht="28.8" x14ac:dyDescent="0.3">
      <c r="A14" s="1">
        <v>999700147</v>
      </c>
      <c r="B14" s="1" t="s">
        <v>90</v>
      </c>
      <c r="C14" s="1" t="s">
        <v>69</v>
      </c>
      <c r="D14" s="1"/>
      <c r="E14" s="1">
        <v>187111</v>
      </c>
      <c r="F14" s="1">
        <v>56</v>
      </c>
      <c r="G14" s="1" t="s">
        <v>91</v>
      </c>
      <c r="H14" s="1">
        <v>51</v>
      </c>
      <c r="I14" s="2">
        <v>5</v>
      </c>
      <c r="J14" s="4"/>
      <c r="K14" s="4"/>
      <c r="L14" s="4"/>
      <c r="M14" s="4">
        <v>45670</v>
      </c>
      <c r="N14" s="4"/>
      <c r="O14" s="4"/>
      <c r="P14" s="4"/>
      <c r="Q14" s="4">
        <v>45680</v>
      </c>
      <c r="R14" s="4">
        <v>45680</v>
      </c>
      <c r="S14" s="4"/>
      <c r="T14" s="4">
        <v>45680</v>
      </c>
      <c r="U14" s="4"/>
      <c r="V14" s="4">
        <v>45653</v>
      </c>
      <c r="W14" s="4"/>
      <c r="X14" s="4"/>
      <c r="Y14" s="4">
        <v>45672</v>
      </c>
      <c r="Z14" s="4">
        <v>45713</v>
      </c>
      <c r="AA14" s="4"/>
      <c r="AB14" s="4"/>
      <c r="AC14" s="4"/>
      <c r="AD14" s="4"/>
      <c r="AE14" s="4"/>
      <c r="AF14" s="4"/>
      <c r="AG14" s="4"/>
      <c r="AH14" s="4"/>
      <c r="AI14" s="4"/>
      <c r="AJ14" s="4">
        <v>45680</v>
      </c>
      <c r="AK14" s="4"/>
      <c r="AL14" s="4">
        <v>45615</v>
      </c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>
        <v>45653</v>
      </c>
      <c r="BB14" s="4"/>
      <c r="BC14" s="4">
        <v>45653</v>
      </c>
      <c r="BD14" s="4"/>
      <c r="BE14" s="4"/>
      <c r="BF14" s="4">
        <v>45638</v>
      </c>
      <c r="BG14" s="4">
        <v>45615</v>
      </c>
      <c r="BH14" s="4">
        <v>45653</v>
      </c>
      <c r="BI14" s="4">
        <v>45596</v>
      </c>
      <c r="BJ14" s="4">
        <v>45638</v>
      </c>
      <c r="BK14" s="4"/>
      <c r="BL14" s="4">
        <v>45638</v>
      </c>
      <c r="BM14" s="4">
        <v>45637</v>
      </c>
    </row>
    <row r="15" spans="1:65" ht="28.8" x14ac:dyDescent="0.3">
      <c r="A15" s="1">
        <v>999700148</v>
      </c>
      <c r="B15" s="1" t="s">
        <v>92</v>
      </c>
      <c r="C15" s="1" t="s">
        <v>158</v>
      </c>
      <c r="D15" s="1"/>
      <c r="E15" s="1"/>
      <c r="F15" s="1">
        <v>0</v>
      </c>
      <c r="G15" s="1" t="s">
        <v>93</v>
      </c>
      <c r="H15" s="1">
        <v>0</v>
      </c>
      <c r="I15" s="2">
        <v>0</v>
      </c>
      <c r="J15" s="4"/>
      <c r="K15" s="4"/>
      <c r="L15" s="4"/>
      <c r="M15" s="4">
        <v>45649</v>
      </c>
      <c r="N15" s="4"/>
      <c r="O15" s="4"/>
      <c r="P15" s="4"/>
      <c r="Q15" s="4">
        <v>45664</v>
      </c>
      <c r="R15" s="4">
        <v>45657</v>
      </c>
      <c r="S15" s="4"/>
      <c r="T15" s="4">
        <v>45657</v>
      </c>
      <c r="U15" s="4">
        <v>45665</v>
      </c>
      <c r="V15" s="4">
        <v>45645</v>
      </c>
      <c r="W15" s="4"/>
      <c r="X15" s="4"/>
      <c r="Y15" s="4">
        <v>45646</v>
      </c>
      <c r="Z15" s="4">
        <v>45680</v>
      </c>
      <c r="AA15" s="4"/>
      <c r="AB15" s="4"/>
      <c r="AC15" s="4">
        <v>45674</v>
      </c>
      <c r="AD15" s="4"/>
      <c r="AE15" s="4"/>
      <c r="AF15" s="4"/>
      <c r="AG15" s="4"/>
      <c r="AH15" s="4"/>
      <c r="AI15" s="4"/>
      <c r="AJ15" s="4">
        <v>45665</v>
      </c>
      <c r="AK15" s="4"/>
      <c r="AL15" s="4">
        <v>45609</v>
      </c>
      <c r="AM15" s="4"/>
      <c r="AN15" s="4"/>
      <c r="AO15" s="4"/>
      <c r="AP15" s="4"/>
      <c r="AQ15" s="4">
        <v>45673</v>
      </c>
      <c r="AR15" s="4"/>
      <c r="AS15" s="4"/>
      <c r="AT15" s="4"/>
      <c r="AU15" s="4"/>
      <c r="AV15" s="4"/>
      <c r="AW15" s="4"/>
      <c r="AX15" s="4"/>
      <c r="AY15" s="4"/>
      <c r="AZ15" s="4"/>
      <c r="BA15" s="4">
        <v>45642</v>
      </c>
      <c r="BB15" s="4"/>
      <c r="BC15" s="4">
        <v>45643</v>
      </c>
      <c r="BD15" s="4"/>
      <c r="BE15" s="4"/>
      <c r="BF15" s="4">
        <v>45616</v>
      </c>
      <c r="BG15" s="4">
        <v>45614</v>
      </c>
      <c r="BH15" s="4">
        <v>45639</v>
      </c>
      <c r="BI15" s="4">
        <v>45594</v>
      </c>
      <c r="BJ15" s="4">
        <v>45622</v>
      </c>
      <c r="BK15" s="4">
        <v>45623</v>
      </c>
      <c r="BL15" s="4">
        <v>45636</v>
      </c>
      <c r="BM15" s="4">
        <v>45636</v>
      </c>
    </row>
    <row r="16" spans="1:65" ht="28.8" x14ac:dyDescent="0.3">
      <c r="A16" s="1">
        <v>999700149</v>
      </c>
      <c r="B16" s="1" t="s">
        <v>94</v>
      </c>
      <c r="C16" s="1" t="s">
        <v>69</v>
      </c>
      <c r="D16" s="1"/>
      <c r="E16" s="1">
        <v>188787</v>
      </c>
      <c r="F16" s="1">
        <v>56</v>
      </c>
      <c r="G16" s="1" t="s">
        <v>91</v>
      </c>
      <c r="H16" s="1">
        <v>40</v>
      </c>
      <c r="I16" s="2">
        <v>16</v>
      </c>
      <c r="J16" s="4"/>
      <c r="K16" s="4"/>
      <c r="L16" s="4"/>
      <c r="M16" s="4"/>
      <c r="N16" s="4"/>
      <c r="O16" s="4"/>
      <c r="P16" s="4"/>
      <c r="Q16" s="4">
        <v>45712</v>
      </c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>
        <v>45712</v>
      </c>
      <c r="AK16" s="4"/>
      <c r="AL16" s="4">
        <v>45681</v>
      </c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>
        <v>45666</v>
      </c>
      <c r="BH16" s="4"/>
      <c r="BI16" s="4">
        <v>45594</v>
      </c>
      <c r="BJ16" s="4"/>
      <c r="BK16" s="4">
        <v>45672</v>
      </c>
      <c r="BL16" s="4"/>
      <c r="BM16" s="4">
        <v>45681</v>
      </c>
    </row>
    <row r="17" spans="1:65" ht="43.2" x14ac:dyDescent="0.3">
      <c r="A17" s="1">
        <v>999700150</v>
      </c>
      <c r="B17" s="1" t="s">
        <v>95</v>
      </c>
      <c r="C17" s="1" t="s">
        <v>96</v>
      </c>
      <c r="D17" s="1"/>
      <c r="E17" s="1"/>
      <c r="F17" s="1">
        <v>0</v>
      </c>
      <c r="G17" s="1" t="s">
        <v>97</v>
      </c>
      <c r="H17" s="1">
        <v>0</v>
      </c>
      <c r="I17" s="2">
        <v>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</row>
    <row r="18" spans="1:65" ht="144" x14ac:dyDescent="0.3">
      <c r="A18" s="1">
        <v>999700156</v>
      </c>
      <c r="B18" s="1" t="s">
        <v>98</v>
      </c>
      <c r="C18" s="1" t="s">
        <v>99</v>
      </c>
      <c r="D18" s="1"/>
      <c r="E18" s="1">
        <v>185710</v>
      </c>
      <c r="F18" s="1">
        <v>56</v>
      </c>
      <c r="G18" s="1" t="s">
        <v>100</v>
      </c>
      <c r="H18" s="1">
        <v>48</v>
      </c>
      <c r="I18" s="2">
        <v>8</v>
      </c>
      <c r="J18" s="4"/>
      <c r="K18" s="4"/>
      <c r="L18" s="4"/>
      <c r="M18" s="4">
        <v>45636</v>
      </c>
      <c r="N18" s="4"/>
      <c r="O18" s="4"/>
      <c r="P18" s="4"/>
      <c r="Q18" s="4"/>
      <c r="R18" s="4"/>
      <c r="S18" s="4"/>
      <c r="T18" s="4"/>
      <c r="U18" s="4"/>
      <c r="V18" s="4">
        <v>45629</v>
      </c>
      <c r="W18" s="4"/>
      <c r="X18" s="4"/>
      <c r="Y18" s="4">
        <v>45631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>
        <v>45656</v>
      </c>
      <c r="AN18" s="4"/>
      <c r="AO18" s="4"/>
      <c r="AP18" s="4"/>
      <c r="AQ18" s="4">
        <v>45685</v>
      </c>
      <c r="AR18" s="4"/>
      <c r="AS18" s="4"/>
      <c r="AT18" s="4"/>
      <c r="AU18" s="4"/>
      <c r="AV18" s="4"/>
      <c r="AW18" s="4"/>
      <c r="AX18" s="4"/>
      <c r="AY18" s="4"/>
      <c r="AZ18" s="4"/>
      <c r="BA18" s="4">
        <v>45623</v>
      </c>
      <c r="BB18" s="4"/>
      <c r="BC18" s="4">
        <v>45629</v>
      </c>
      <c r="BD18" s="4"/>
      <c r="BE18" s="4"/>
      <c r="BF18" s="4"/>
      <c r="BG18" s="4"/>
      <c r="BH18" s="4"/>
      <c r="BI18" s="4"/>
      <c r="BJ18" s="4"/>
      <c r="BK18" s="4"/>
      <c r="BL18" s="4">
        <v>45616</v>
      </c>
      <c r="BM18" s="4">
        <v>45616</v>
      </c>
    </row>
    <row r="19" spans="1:65" ht="28.8" x14ac:dyDescent="0.3">
      <c r="A19" s="1">
        <v>999700188</v>
      </c>
      <c r="B19" s="1" t="s">
        <v>101</v>
      </c>
      <c r="C19" s="1" t="s">
        <v>69</v>
      </c>
      <c r="D19" s="1"/>
      <c r="E19" s="1">
        <v>190159</v>
      </c>
      <c r="F19" s="1">
        <v>56</v>
      </c>
      <c r="G19" s="1" t="s">
        <v>102</v>
      </c>
      <c r="H19" s="1">
        <v>25</v>
      </c>
      <c r="I19" s="2">
        <v>31</v>
      </c>
      <c r="J19" s="4"/>
      <c r="K19" s="4"/>
      <c r="L19" s="4"/>
      <c r="M19" s="4"/>
      <c r="N19" s="4"/>
      <c r="O19" s="4"/>
      <c r="P19" s="4"/>
      <c r="Q19" s="4">
        <v>45712</v>
      </c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>
        <v>45712</v>
      </c>
      <c r="AK19" s="4"/>
      <c r="AL19" s="4">
        <v>45681</v>
      </c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>
        <v>45666</v>
      </c>
      <c r="BH19" s="4"/>
      <c r="BI19" s="4">
        <v>45645</v>
      </c>
      <c r="BJ19" s="4"/>
      <c r="BK19" s="4">
        <v>45672</v>
      </c>
      <c r="BL19" s="4"/>
      <c r="BM19" s="4">
        <v>45681</v>
      </c>
    </row>
    <row r="20" spans="1:65" ht="28.8" x14ac:dyDescent="0.3">
      <c r="A20" s="1">
        <v>999700190</v>
      </c>
      <c r="B20" s="1" t="s">
        <v>103</v>
      </c>
      <c r="C20" s="1" t="s">
        <v>69</v>
      </c>
      <c r="D20" s="1"/>
      <c r="E20" s="1">
        <v>189885</v>
      </c>
      <c r="F20" s="1">
        <v>56</v>
      </c>
      <c r="G20" s="1" t="s">
        <v>91</v>
      </c>
      <c r="H20" s="1">
        <v>40</v>
      </c>
      <c r="I20" s="2">
        <v>16</v>
      </c>
      <c r="J20" s="4"/>
      <c r="K20" s="4"/>
      <c r="L20" s="4"/>
      <c r="M20" s="4"/>
      <c r="N20" s="4"/>
      <c r="O20" s="4"/>
      <c r="P20" s="4"/>
      <c r="Q20" s="4">
        <v>45712</v>
      </c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>
        <v>45712</v>
      </c>
      <c r="AK20" s="4"/>
      <c r="AL20" s="4">
        <v>45681</v>
      </c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>
        <v>45666</v>
      </c>
      <c r="BH20" s="4"/>
      <c r="BI20" s="4">
        <v>45633</v>
      </c>
      <c r="BJ20" s="4"/>
      <c r="BK20" s="4">
        <v>45672</v>
      </c>
      <c r="BL20" s="4"/>
      <c r="BM20" s="4">
        <v>45681</v>
      </c>
    </row>
    <row r="21" spans="1:65" ht="28.8" x14ac:dyDescent="0.3">
      <c r="A21" s="1">
        <v>999700191</v>
      </c>
      <c r="B21" s="1" t="s">
        <v>104</v>
      </c>
      <c r="C21" s="1" t="s">
        <v>160</v>
      </c>
      <c r="D21" s="1"/>
      <c r="E21" s="1"/>
      <c r="F21" s="1">
        <v>0</v>
      </c>
      <c r="G21" s="1" t="s">
        <v>84</v>
      </c>
      <c r="H21" s="1">
        <v>0</v>
      </c>
      <c r="I21" s="2">
        <v>0</v>
      </c>
      <c r="J21" s="4"/>
      <c r="K21" s="4"/>
      <c r="L21" s="4"/>
      <c r="M21" s="4">
        <v>45652</v>
      </c>
      <c r="N21" s="4"/>
      <c r="O21" s="4"/>
      <c r="P21" s="4"/>
      <c r="Q21" s="4">
        <v>45663</v>
      </c>
      <c r="R21" s="4">
        <v>45656</v>
      </c>
      <c r="S21" s="4"/>
      <c r="T21" s="4">
        <v>45660</v>
      </c>
      <c r="U21" s="4">
        <v>45670</v>
      </c>
      <c r="V21" s="4">
        <v>45643</v>
      </c>
      <c r="W21" s="4"/>
      <c r="X21" s="4"/>
      <c r="Y21" s="4">
        <v>45643</v>
      </c>
      <c r="Z21" s="4">
        <v>45672</v>
      </c>
      <c r="AA21" s="4"/>
      <c r="AB21" s="4"/>
      <c r="AC21" s="4"/>
      <c r="AD21" s="4"/>
      <c r="AE21" s="4"/>
      <c r="AF21" s="4"/>
      <c r="AG21" s="4"/>
      <c r="AH21" s="4"/>
      <c r="AI21" s="4"/>
      <c r="AJ21" s="4">
        <v>45665</v>
      </c>
      <c r="AK21" s="4"/>
      <c r="AL21" s="4">
        <v>45610</v>
      </c>
      <c r="AM21" s="4"/>
      <c r="AN21" s="4"/>
      <c r="AO21" s="4"/>
      <c r="AP21" s="4"/>
      <c r="AQ21" s="4">
        <v>45679</v>
      </c>
      <c r="AR21" s="4"/>
      <c r="AS21" s="4"/>
      <c r="AT21" s="4"/>
      <c r="AU21" s="4"/>
      <c r="AV21" s="4"/>
      <c r="AW21" s="4"/>
      <c r="AX21" s="4"/>
      <c r="AY21" s="4"/>
      <c r="AZ21" s="4"/>
      <c r="BA21" s="4">
        <v>45635</v>
      </c>
      <c r="BB21" s="4"/>
      <c r="BC21" s="4">
        <v>45635</v>
      </c>
      <c r="BD21" s="4"/>
      <c r="BE21" s="4"/>
      <c r="BF21" s="4">
        <v>45629</v>
      </c>
      <c r="BG21" s="4">
        <v>45610</v>
      </c>
      <c r="BH21" s="4">
        <v>45629</v>
      </c>
      <c r="BI21" s="4">
        <v>45595</v>
      </c>
      <c r="BJ21" s="4">
        <v>45621</v>
      </c>
      <c r="BK21" s="4">
        <v>45614</v>
      </c>
      <c r="BL21" s="4">
        <v>45622</v>
      </c>
      <c r="BM21" s="4">
        <v>45622</v>
      </c>
    </row>
    <row r="22" spans="1:65" ht="28.8" x14ac:dyDescent="0.3">
      <c r="A22" s="1">
        <v>999700192</v>
      </c>
      <c r="B22" s="1" t="s">
        <v>105</v>
      </c>
      <c r="C22" s="1" t="s">
        <v>69</v>
      </c>
      <c r="D22" s="1"/>
      <c r="E22" s="1"/>
      <c r="F22" s="1">
        <v>0</v>
      </c>
      <c r="G22" s="1" t="s">
        <v>84</v>
      </c>
      <c r="H22" s="1">
        <v>0</v>
      </c>
      <c r="I22" s="2">
        <v>0</v>
      </c>
      <c r="J22" s="4"/>
      <c r="K22" s="4"/>
      <c r="L22" s="4"/>
      <c r="M22" s="4">
        <v>45652</v>
      </c>
      <c r="N22" s="4"/>
      <c r="O22" s="4"/>
      <c r="P22" s="4"/>
      <c r="Q22" s="4">
        <v>45663</v>
      </c>
      <c r="R22" s="4">
        <v>45656</v>
      </c>
      <c r="S22" s="4"/>
      <c r="T22" s="4">
        <v>45660</v>
      </c>
      <c r="U22" s="4">
        <v>45670</v>
      </c>
      <c r="V22" s="4">
        <v>45643</v>
      </c>
      <c r="W22" s="4"/>
      <c r="X22" s="4"/>
      <c r="Y22" s="4">
        <v>45643</v>
      </c>
      <c r="Z22" s="4">
        <v>45672</v>
      </c>
      <c r="AA22" s="4"/>
      <c r="AB22" s="4"/>
      <c r="AC22" s="4"/>
      <c r="AD22" s="4"/>
      <c r="AE22" s="4"/>
      <c r="AF22" s="4"/>
      <c r="AG22" s="4"/>
      <c r="AH22" s="4"/>
      <c r="AI22" s="4"/>
      <c r="AJ22" s="4">
        <v>45665</v>
      </c>
      <c r="AK22" s="4"/>
      <c r="AL22" s="4">
        <v>45610</v>
      </c>
      <c r="AM22" s="4"/>
      <c r="AN22" s="4"/>
      <c r="AO22" s="4"/>
      <c r="AP22" s="4"/>
      <c r="AQ22" s="4">
        <v>45679</v>
      </c>
      <c r="AR22" s="4"/>
      <c r="AS22" s="4"/>
      <c r="AT22" s="4"/>
      <c r="AU22" s="4"/>
      <c r="AV22" s="4"/>
      <c r="AW22" s="4"/>
      <c r="AX22" s="4"/>
      <c r="AY22" s="4"/>
      <c r="AZ22" s="4"/>
      <c r="BA22" s="4">
        <v>45635</v>
      </c>
      <c r="BB22" s="4"/>
      <c r="BC22" s="4">
        <v>45635</v>
      </c>
      <c r="BD22" s="4"/>
      <c r="BE22" s="4"/>
      <c r="BF22" s="4">
        <v>45629</v>
      </c>
      <c r="BG22" s="4">
        <v>45610</v>
      </c>
      <c r="BH22" s="4">
        <v>45629</v>
      </c>
      <c r="BI22" s="4">
        <v>45595</v>
      </c>
      <c r="BJ22" s="4">
        <v>45618</v>
      </c>
      <c r="BK22" s="4">
        <v>45614</v>
      </c>
      <c r="BL22" s="4">
        <v>45622</v>
      </c>
      <c r="BM22" s="4">
        <v>45622</v>
      </c>
    </row>
    <row r="23" spans="1:65" ht="28.8" x14ac:dyDescent="0.3">
      <c r="A23" s="1">
        <v>999700193</v>
      </c>
      <c r="B23" s="1" t="s">
        <v>106</v>
      </c>
      <c r="C23" s="1" t="s">
        <v>69</v>
      </c>
      <c r="D23" s="1"/>
      <c r="E23" s="1">
        <v>189273</v>
      </c>
      <c r="F23" s="1">
        <v>56</v>
      </c>
      <c r="G23" s="1" t="s">
        <v>88</v>
      </c>
      <c r="H23" s="1">
        <v>51</v>
      </c>
      <c r="I23" s="2">
        <v>5</v>
      </c>
      <c r="J23" s="4"/>
      <c r="K23" s="4"/>
      <c r="L23" s="4"/>
      <c r="M23" s="4">
        <v>45652</v>
      </c>
      <c r="N23" s="4"/>
      <c r="O23" s="4"/>
      <c r="P23" s="4"/>
      <c r="Q23" s="4">
        <v>45663</v>
      </c>
      <c r="R23" s="4">
        <v>45656</v>
      </c>
      <c r="S23" s="4"/>
      <c r="T23" s="4">
        <v>45660</v>
      </c>
      <c r="U23" s="4">
        <v>45670</v>
      </c>
      <c r="V23" s="4">
        <v>45643</v>
      </c>
      <c r="W23" s="4"/>
      <c r="X23" s="4"/>
      <c r="Y23" s="4">
        <v>45643</v>
      </c>
      <c r="Z23" s="4">
        <v>45672</v>
      </c>
      <c r="AA23" s="4"/>
      <c r="AB23" s="4"/>
      <c r="AC23" s="4"/>
      <c r="AD23" s="4"/>
      <c r="AE23" s="4"/>
      <c r="AF23" s="4"/>
      <c r="AG23" s="4"/>
      <c r="AH23" s="4"/>
      <c r="AI23" s="4"/>
      <c r="AJ23" s="4">
        <v>45665</v>
      </c>
      <c r="AK23" s="4"/>
      <c r="AL23" s="4">
        <v>45610</v>
      </c>
      <c r="AM23" s="4"/>
      <c r="AN23" s="4"/>
      <c r="AO23" s="4"/>
      <c r="AP23" s="4"/>
      <c r="AQ23" s="4">
        <v>45679</v>
      </c>
      <c r="AR23" s="4"/>
      <c r="AS23" s="4"/>
      <c r="AT23" s="4"/>
      <c r="AU23" s="4"/>
      <c r="AV23" s="4"/>
      <c r="AW23" s="4"/>
      <c r="AX23" s="4"/>
      <c r="AY23" s="4"/>
      <c r="AZ23" s="4"/>
      <c r="BA23" s="4">
        <v>45633</v>
      </c>
      <c r="BB23" s="4"/>
      <c r="BC23" s="4">
        <v>45633</v>
      </c>
      <c r="BD23" s="4"/>
      <c r="BE23" s="4"/>
      <c r="BF23" s="4">
        <v>45629</v>
      </c>
      <c r="BG23" s="4">
        <v>45610</v>
      </c>
      <c r="BH23" s="4">
        <v>45629</v>
      </c>
      <c r="BI23" s="4">
        <v>45595</v>
      </c>
      <c r="BJ23" s="4">
        <v>45618</v>
      </c>
      <c r="BK23" s="4">
        <v>45614</v>
      </c>
      <c r="BL23" s="4">
        <v>45622</v>
      </c>
      <c r="BM23" s="4">
        <v>45622</v>
      </c>
    </row>
    <row r="24" spans="1:65" ht="28.8" x14ac:dyDescent="0.3">
      <c r="A24" s="1">
        <v>999700194</v>
      </c>
      <c r="B24" s="1" t="s">
        <v>107</v>
      </c>
      <c r="C24" s="1" t="s">
        <v>158</v>
      </c>
      <c r="D24" s="1" t="s">
        <v>108</v>
      </c>
      <c r="E24" s="1"/>
      <c r="F24" s="1">
        <v>0</v>
      </c>
      <c r="G24" s="1" t="s">
        <v>84</v>
      </c>
      <c r="H24" s="1">
        <v>0</v>
      </c>
      <c r="I24" s="2">
        <v>0</v>
      </c>
      <c r="J24" s="4"/>
      <c r="K24" s="4"/>
      <c r="L24" s="4"/>
      <c r="M24" s="4">
        <v>45652</v>
      </c>
      <c r="N24" s="4"/>
      <c r="O24" s="4"/>
      <c r="P24" s="4"/>
      <c r="Q24" s="4">
        <v>45663</v>
      </c>
      <c r="R24" s="4">
        <v>45656</v>
      </c>
      <c r="S24" s="4"/>
      <c r="T24" s="4">
        <v>45660</v>
      </c>
      <c r="U24" s="4">
        <v>45670</v>
      </c>
      <c r="V24" s="4">
        <v>45643</v>
      </c>
      <c r="W24" s="4"/>
      <c r="X24" s="4"/>
      <c r="Y24" s="4">
        <v>45643</v>
      </c>
      <c r="Z24" s="4">
        <v>45672</v>
      </c>
      <c r="AA24" s="4"/>
      <c r="AB24" s="4"/>
      <c r="AC24" s="4"/>
      <c r="AD24" s="4"/>
      <c r="AE24" s="4"/>
      <c r="AF24" s="4"/>
      <c r="AG24" s="4"/>
      <c r="AH24" s="4"/>
      <c r="AI24" s="4"/>
      <c r="AJ24" s="4">
        <v>45665</v>
      </c>
      <c r="AK24" s="4"/>
      <c r="AL24" s="4">
        <v>45610</v>
      </c>
      <c r="AM24" s="4"/>
      <c r="AN24" s="4"/>
      <c r="AO24" s="4"/>
      <c r="AP24" s="4"/>
      <c r="AQ24" s="4">
        <v>45679</v>
      </c>
      <c r="AR24" s="4"/>
      <c r="AS24" s="4"/>
      <c r="AT24" s="4"/>
      <c r="AU24" s="4"/>
      <c r="AV24" s="4"/>
      <c r="AW24" s="4"/>
      <c r="AX24" s="4"/>
      <c r="AY24" s="4"/>
      <c r="AZ24" s="4"/>
      <c r="BA24" s="4">
        <v>45635</v>
      </c>
      <c r="BB24" s="4"/>
      <c r="BC24" s="4">
        <v>45635</v>
      </c>
      <c r="BD24" s="4"/>
      <c r="BE24" s="4"/>
      <c r="BF24" s="4">
        <v>45629</v>
      </c>
      <c r="BG24" s="4">
        <v>45610</v>
      </c>
      <c r="BH24" s="4">
        <v>45629</v>
      </c>
      <c r="BI24" s="4">
        <v>45595</v>
      </c>
      <c r="BJ24" s="4">
        <v>45618</v>
      </c>
      <c r="BK24" s="4">
        <v>45614</v>
      </c>
      <c r="BL24" s="4">
        <v>45622</v>
      </c>
      <c r="BM24" s="4">
        <v>45622</v>
      </c>
    </row>
    <row r="25" spans="1:65" ht="28.8" x14ac:dyDescent="0.3">
      <c r="A25" s="1">
        <v>999700195</v>
      </c>
      <c r="B25" s="1" t="s">
        <v>109</v>
      </c>
      <c r="C25" s="1" t="s">
        <v>69</v>
      </c>
      <c r="D25" s="1"/>
      <c r="E25" s="1">
        <v>190084</v>
      </c>
      <c r="F25" s="1">
        <v>56</v>
      </c>
      <c r="G25" s="1" t="s">
        <v>110</v>
      </c>
      <c r="H25" s="1">
        <v>50</v>
      </c>
      <c r="I25" s="2">
        <v>6</v>
      </c>
      <c r="J25" s="4"/>
      <c r="K25" s="4"/>
      <c r="L25" s="4"/>
      <c r="M25" s="4">
        <v>45652</v>
      </c>
      <c r="N25" s="4"/>
      <c r="O25" s="4"/>
      <c r="P25" s="4"/>
      <c r="Q25" s="4">
        <v>45663</v>
      </c>
      <c r="R25" s="4">
        <v>45656</v>
      </c>
      <c r="S25" s="4"/>
      <c r="T25" s="4">
        <v>45660</v>
      </c>
      <c r="U25" s="4">
        <v>45670</v>
      </c>
      <c r="V25" s="4">
        <v>45643</v>
      </c>
      <c r="W25" s="4"/>
      <c r="X25" s="4"/>
      <c r="Y25" s="4">
        <v>45643</v>
      </c>
      <c r="Z25" s="4">
        <v>45672</v>
      </c>
      <c r="AA25" s="4"/>
      <c r="AB25" s="4"/>
      <c r="AC25" s="4"/>
      <c r="AD25" s="4"/>
      <c r="AE25" s="4"/>
      <c r="AF25" s="4"/>
      <c r="AG25" s="4"/>
      <c r="AH25" s="4"/>
      <c r="AI25" s="4"/>
      <c r="AJ25" s="4">
        <v>45665</v>
      </c>
      <c r="AK25" s="4"/>
      <c r="AL25" s="4">
        <v>45610</v>
      </c>
      <c r="AM25" s="4"/>
      <c r="AN25" s="4"/>
      <c r="AO25" s="4"/>
      <c r="AP25" s="4"/>
      <c r="AQ25" s="4">
        <v>45679</v>
      </c>
      <c r="AR25" s="4"/>
      <c r="AS25" s="4"/>
      <c r="AT25" s="4"/>
      <c r="AU25" s="4"/>
      <c r="AV25" s="4"/>
      <c r="AW25" s="4"/>
      <c r="AX25" s="4"/>
      <c r="AY25" s="4"/>
      <c r="AZ25" s="4"/>
      <c r="BA25" s="4">
        <v>45635</v>
      </c>
      <c r="BB25" s="4"/>
      <c r="BC25" s="4">
        <v>45635</v>
      </c>
      <c r="BD25" s="4"/>
      <c r="BE25" s="4"/>
      <c r="BF25" s="4">
        <v>45629</v>
      </c>
      <c r="BG25" s="4">
        <v>45610</v>
      </c>
      <c r="BH25" s="4">
        <v>45629</v>
      </c>
      <c r="BI25" s="4">
        <v>45595</v>
      </c>
      <c r="BJ25" s="4">
        <v>45621</v>
      </c>
      <c r="BK25" s="4">
        <v>45614</v>
      </c>
      <c r="BL25" s="4">
        <v>45622</v>
      </c>
      <c r="BM25" s="4">
        <v>45622</v>
      </c>
    </row>
    <row r="26" spans="1:65" ht="28.8" x14ac:dyDescent="0.3">
      <c r="A26" s="1">
        <v>999700196</v>
      </c>
      <c r="B26" s="1" t="s">
        <v>111</v>
      </c>
      <c r="C26" s="1" t="s">
        <v>159</v>
      </c>
      <c r="D26" s="1"/>
      <c r="E26" s="1"/>
      <c r="F26" s="1">
        <v>0</v>
      </c>
      <c r="G26" s="1" t="s">
        <v>86</v>
      </c>
      <c r="H26" s="1">
        <v>0</v>
      </c>
      <c r="I26" s="2">
        <v>0</v>
      </c>
      <c r="J26" s="4"/>
      <c r="K26" s="4"/>
      <c r="L26" s="4"/>
      <c r="M26" s="4"/>
      <c r="N26" s="4"/>
      <c r="O26" s="4"/>
      <c r="P26" s="4"/>
      <c r="Q26" s="4"/>
      <c r="R26" s="4">
        <v>45684</v>
      </c>
      <c r="S26" s="4"/>
      <c r="T26" s="4"/>
      <c r="U26" s="4"/>
      <c r="V26" s="4">
        <v>45678</v>
      </c>
      <c r="W26" s="4"/>
      <c r="X26" s="4"/>
      <c r="Y26" s="4">
        <v>45674</v>
      </c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>
        <v>45623</v>
      </c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>
        <v>45660</v>
      </c>
      <c r="BB26" s="4"/>
      <c r="BC26" s="4">
        <v>45667</v>
      </c>
      <c r="BD26" s="4"/>
      <c r="BE26" s="4"/>
      <c r="BF26" s="4">
        <v>45646</v>
      </c>
      <c r="BG26" s="4">
        <v>45625</v>
      </c>
      <c r="BH26" s="4">
        <v>45656</v>
      </c>
      <c r="BI26" s="4">
        <v>45594</v>
      </c>
      <c r="BJ26" s="4">
        <v>45635</v>
      </c>
      <c r="BK26" s="4">
        <v>45632</v>
      </c>
      <c r="BL26" s="4">
        <v>45639</v>
      </c>
      <c r="BM26" s="4">
        <v>45638</v>
      </c>
    </row>
    <row r="27" spans="1:65" ht="28.8" x14ac:dyDescent="0.3">
      <c r="A27" s="1">
        <v>999700197</v>
      </c>
      <c r="B27" s="1" t="s">
        <v>112</v>
      </c>
      <c r="C27" s="1" t="s">
        <v>69</v>
      </c>
      <c r="D27" s="1"/>
      <c r="E27" s="1">
        <v>186624</v>
      </c>
      <c r="F27" s="1">
        <v>56</v>
      </c>
      <c r="G27" s="1" t="s">
        <v>113</v>
      </c>
      <c r="H27" s="1">
        <v>50</v>
      </c>
      <c r="I27" s="2">
        <v>6</v>
      </c>
      <c r="J27" s="4"/>
      <c r="K27" s="4"/>
      <c r="L27" s="4"/>
      <c r="M27" s="4"/>
      <c r="N27" s="4"/>
      <c r="O27" s="4"/>
      <c r="P27" s="4"/>
      <c r="Q27" s="4"/>
      <c r="R27" s="4">
        <v>45684</v>
      </c>
      <c r="S27" s="4"/>
      <c r="T27" s="4"/>
      <c r="U27" s="4"/>
      <c r="V27" s="4">
        <v>45678</v>
      </c>
      <c r="W27" s="4"/>
      <c r="X27" s="4"/>
      <c r="Y27" s="4">
        <v>45674</v>
      </c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>
        <v>45623</v>
      </c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>
        <v>45660</v>
      </c>
      <c r="BB27" s="4"/>
      <c r="BC27" s="4">
        <v>45667</v>
      </c>
      <c r="BD27" s="4"/>
      <c r="BE27" s="4"/>
      <c r="BF27" s="4">
        <v>45646</v>
      </c>
      <c r="BG27" s="4">
        <v>45625</v>
      </c>
      <c r="BH27" s="4">
        <v>45656</v>
      </c>
      <c r="BI27" s="4">
        <v>45597</v>
      </c>
      <c r="BJ27" s="4">
        <v>45635</v>
      </c>
      <c r="BK27" s="4">
        <v>45632</v>
      </c>
      <c r="BL27" s="4">
        <v>45639</v>
      </c>
      <c r="BM27" s="4">
        <v>45638</v>
      </c>
    </row>
    <row r="28" spans="1:65" ht="28.8" x14ac:dyDescent="0.3">
      <c r="A28" s="1">
        <v>999700198</v>
      </c>
      <c r="B28" s="1" t="s">
        <v>114</v>
      </c>
      <c r="C28" s="1" t="s">
        <v>162</v>
      </c>
      <c r="D28" s="1"/>
      <c r="E28" s="1"/>
      <c r="F28" s="1">
        <v>0</v>
      </c>
      <c r="G28" s="1" t="s">
        <v>86</v>
      </c>
      <c r="H28" s="1">
        <v>0</v>
      </c>
      <c r="I28" s="2">
        <v>0</v>
      </c>
      <c r="J28" s="4"/>
      <c r="K28" s="4"/>
      <c r="L28" s="4"/>
      <c r="M28" s="4"/>
      <c r="N28" s="4"/>
      <c r="O28" s="4"/>
      <c r="P28" s="4"/>
      <c r="Q28" s="4"/>
      <c r="R28" s="4">
        <v>45684</v>
      </c>
      <c r="S28" s="4"/>
      <c r="T28" s="4"/>
      <c r="U28" s="4"/>
      <c r="V28" s="4">
        <v>45678</v>
      </c>
      <c r="W28" s="4"/>
      <c r="X28" s="4"/>
      <c r="Y28" s="4">
        <v>45674</v>
      </c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>
        <v>45623</v>
      </c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>
        <v>45660</v>
      </c>
      <c r="BB28" s="4"/>
      <c r="BC28" s="4">
        <v>45667</v>
      </c>
      <c r="BD28" s="4"/>
      <c r="BE28" s="4"/>
      <c r="BF28" s="4">
        <v>45646</v>
      </c>
      <c r="BG28" s="4">
        <v>45625</v>
      </c>
      <c r="BH28" s="4">
        <v>45656</v>
      </c>
      <c r="BI28" s="4">
        <v>45594</v>
      </c>
      <c r="BJ28" s="4">
        <v>45635</v>
      </c>
      <c r="BK28" s="4">
        <v>45632</v>
      </c>
      <c r="BL28" s="4">
        <v>45639</v>
      </c>
      <c r="BM28" s="4">
        <v>45638</v>
      </c>
    </row>
    <row r="29" spans="1:65" ht="28.8" x14ac:dyDescent="0.3">
      <c r="A29" s="1">
        <v>999700199</v>
      </c>
      <c r="B29" s="1" t="s">
        <v>115</v>
      </c>
      <c r="C29" s="1" t="s">
        <v>159</v>
      </c>
      <c r="D29" s="1"/>
      <c r="E29" s="1"/>
      <c r="F29" s="1">
        <v>0</v>
      </c>
      <c r="G29" s="1" t="s">
        <v>86</v>
      </c>
      <c r="H29" s="1">
        <v>0</v>
      </c>
      <c r="I29" s="2">
        <v>0</v>
      </c>
      <c r="J29" s="4"/>
      <c r="K29" s="4"/>
      <c r="L29" s="4"/>
      <c r="M29" s="4"/>
      <c r="N29" s="4"/>
      <c r="O29" s="4"/>
      <c r="P29" s="4"/>
      <c r="Q29" s="4"/>
      <c r="R29" s="4">
        <v>45684</v>
      </c>
      <c r="S29" s="4"/>
      <c r="T29" s="4"/>
      <c r="U29" s="4"/>
      <c r="V29" s="4">
        <v>45678</v>
      </c>
      <c r="W29" s="4"/>
      <c r="X29" s="4"/>
      <c r="Y29" s="4">
        <v>45674</v>
      </c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>
        <v>45623</v>
      </c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>
        <v>45660</v>
      </c>
      <c r="BB29" s="4"/>
      <c r="BC29" s="4">
        <v>45667</v>
      </c>
      <c r="BD29" s="4"/>
      <c r="BE29" s="4"/>
      <c r="BF29" s="4">
        <v>45646</v>
      </c>
      <c r="BG29" s="4">
        <v>45625</v>
      </c>
      <c r="BH29" s="4">
        <v>45656</v>
      </c>
      <c r="BI29" s="4">
        <v>45593</v>
      </c>
      <c r="BJ29" s="4">
        <v>45635</v>
      </c>
      <c r="BK29" s="4">
        <v>45632</v>
      </c>
      <c r="BL29" s="4">
        <v>45639</v>
      </c>
      <c r="BM29" s="4">
        <v>45638</v>
      </c>
    </row>
    <row r="30" spans="1:65" ht="86.4" x14ac:dyDescent="0.3">
      <c r="A30" s="1">
        <v>999700200</v>
      </c>
      <c r="B30" s="1" t="s">
        <v>116</v>
      </c>
      <c r="C30" s="1" t="s">
        <v>117</v>
      </c>
      <c r="D30" s="1"/>
      <c r="E30" s="1">
        <v>188392</v>
      </c>
      <c r="F30" s="1">
        <v>40</v>
      </c>
      <c r="G30" s="1" t="s">
        <v>118</v>
      </c>
      <c r="H30" s="1">
        <v>30</v>
      </c>
      <c r="I30" s="2">
        <v>10</v>
      </c>
      <c r="J30" s="4"/>
      <c r="K30" s="4"/>
      <c r="L30" s="4"/>
      <c r="M30" s="4"/>
      <c r="N30" s="4"/>
      <c r="O30" s="4"/>
      <c r="P30" s="4"/>
      <c r="Q30" s="4"/>
      <c r="R30" s="4">
        <v>45684</v>
      </c>
      <c r="S30" s="4"/>
      <c r="T30" s="4"/>
      <c r="U30" s="4"/>
      <c r="V30" s="4">
        <v>45678</v>
      </c>
      <c r="W30" s="4"/>
      <c r="X30" s="4"/>
      <c r="Y30" s="4">
        <v>45674</v>
      </c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>
        <v>45623</v>
      </c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>
        <v>45674</v>
      </c>
      <c r="BB30" s="4"/>
      <c r="BC30" s="4">
        <v>45674</v>
      </c>
      <c r="BD30" s="4"/>
      <c r="BE30" s="4"/>
      <c r="BF30" s="4">
        <v>45674</v>
      </c>
      <c r="BG30" s="4">
        <v>45625</v>
      </c>
      <c r="BH30" s="4">
        <v>45674</v>
      </c>
      <c r="BI30" s="4">
        <v>45594</v>
      </c>
      <c r="BJ30" s="4">
        <v>45635</v>
      </c>
      <c r="BK30" s="4">
        <v>45632</v>
      </c>
      <c r="BL30" s="4">
        <v>45674</v>
      </c>
      <c r="BM30" s="4">
        <v>45638</v>
      </c>
    </row>
    <row r="31" spans="1:65" ht="28.8" x14ac:dyDescent="0.3">
      <c r="A31" s="1">
        <v>999700201</v>
      </c>
      <c r="B31" s="1" t="s">
        <v>119</v>
      </c>
      <c r="C31" s="1" t="s">
        <v>69</v>
      </c>
      <c r="D31" s="1"/>
      <c r="E31" s="1">
        <v>186113</v>
      </c>
      <c r="F31" s="1">
        <v>56</v>
      </c>
      <c r="G31" s="1" t="s">
        <v>88</v>
      </c>
      <c r="H31" s="1">
        <v>50</v>
      </c>
      <c r="I31" s="2">
        <v>6</v>
      </c>
      <c r="J31" s="4"/>
      <c r="K31" s="4"/>
      <c r="L31" s="4"/>
      <c r="M31" s="4">
        <v>45642</v>
      </c>
      <c r="N31" s="4"/>
      <c r="O31" s="4"/>
      <c r="P31" s="4"/>
      <c r="Q31" s="4">
        <v>45656</v>
      </c>
      <c r="R31" s="4">
        <v>45646</v>
      </c>
      <c r="S31" s="4"/>
      <c r="T31" s="4">
        <v>45656</v>
      </c>
      <c r="U31" s="4">
        <v>45663</v>
      </c>
      <c r="V31" s="4">
        <v>45637</v>
      </c>
      <c r="W31" s="4"/>
      <c r="X31" s="4"/>
      <c r="Y31" s="4">
        <v>45637</v>
      </c>
      <c r="Z31" s="4">
        <v>45663</v>
      </c>
      <c r="AA31" s="4"/>
      <c r="AB31" s="4"/>
      <c r="AC31" s="4"/>
      <c r="AD31" s="4"/>
      <c r="AE31" s="4"/>
      <c r="AF31" s="4"/>
      <c r="AG31" s="4"/>
      <c r="AH31" s="4"/>
      <c r="AI31" s="4"/>
      <c r="AJ31" s="4">
        <v>45656</v>
      </c>
      <c r="AK31" s="4"/>
      <c r="AL31" s="4">
        <v>45621</v>
      </c>
      <c r="AM31" s="4"/>
      <c r="AN31" s="4"/>
      <c r="AO31" s="4"/>
      <c r="AP31" s="4"/>
      <c r="AQ31" s="4">
        <v>45667</v>
      </c>
      <c r="AR31" s="4"/>
      <c r="AS31" s="4"/>
      <c r="AT31" s="4"/>
      <c r="AU31" s="4"/>
      <c r="AV31" s="4"/>
      <c r="AW31" s="4"/>
      <c r="AX31" s="4"/>
      <c r="AY31" s="4"/>
      <c r="AZ31" s="4"/>
      <c r="BA31" s="4">
        <v>45636</v>
      </c>
      <c r="BB31" s="4"/>
      <c r="BC31" s="4">
        <v>45632</v>
      </c>
      <c r="BD31" s="4"/>
      <c r="BE31" s="4"/>
      <c r="BF31" s="4">
        <v>45636</v>
      </c>
      <c r="BG31" s="4">
        <v>45621</v>
      </c>
      <c r="BH31" s="4">
        <v>45636</v>
      </c>
      <c r="BI31" s="4">
        <v>45593</v>
      </c>
      <c r="BJ31" s="4">
        <v>45630</v>
      </c>
      <c r="BK31" s="4"/>
      <c r="BL31" s="4">
        <v>45636</v>
      </c>
      <c r="BM31" s="4">
        <v>45630</v>
      </c>
    </row>
    <row r="32" spans="1:65" ht="28.8" x14ac:dyDescent="0.3">
      <c r="A32" s="1">
        <v>999700202</v>
      </c>
      <c r="B32" s="1" t="s">
        <v>120</v>
      </c>
      <c r="C32" s="1" t="s">
        <v>158</v>
      </c>
      <c r="D32" s="1"/>
      <c r="E32" s="1"/>
      <c r="F32" s="1">
        <v>0</v>
      </c>
      <c r="G32" s="1" t="s">
        <v>121</v>
      </c>
      <c r="H32" s="1">
        <v>0</v>
      </c>
      <c r="I32" s="2">
        <v>0</v>
      </c>
      <c r="J32" s="4"/>
      <c r="K32" s="4"/>
      <c r="L32" s="4"/>
      <c r="M32" s="4">
        <v>45678</v>
      </c>
      <c r="N32" s="4"/>
      <c r="O32" s="4"/>
      <c r="P32" s="4"/>
      <c r="Q32" s="4">
        <v>45678</v>
      </c>
      <c r="R32" s="4">
        <v>45678</v>
      </c>
      <c r="S32" s="4"/>
      <c r="T32" s="4">
        <v>45678</v>
      </c>
      <c r="U32" s="4"/>
      <c r="V32" s="4">
        <v>45653</v>
      </c>
      <c r="W32" s="4"/>
      <c r="X32" s="4"/>
      <c r="Y32" s="4">
        <v>45670</v>
      </c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>
        <v>45678</v>
      </c>
      <c r="AK32" s="4"/>
      <c r="AL32" s="4">
        <v>45615</v>
      </c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>
        <v>45653</v>
      </c>
      <c r="BB32" s="4"/>
      <c r="BC32" s="4">
        <v>45653</v>
      </c>
      <c r="BD32" s="4"/>
      <c r="BE32" s="4"/>
      <c r="BF32" s="4">
        <v>45638</v>
      </c>
      <c r="BG32" s="4">
        <v>45615</v>
      </c>
      <c r="BH32" s="4">
        <v>45653</v>
      </c>
      <c r="BI32" s="4">
        <v>45596</v>
      </c>
      <c r="BJ32" s="4">
        <v>45638</v>
      </c>
      <c r="BK32" s="4"/>
      <c r="BL32" s="4">
        <v>45638</v>
      </c>
      <c r="BM32" s="4">
        <v>45637</v>
      </c>
    </row>
    <row r="33" spans="1:65" ht="28.8" x14ac:dyDescent="0.3">
      <c r="A33" s="1">
        <v>999700204</v>
      </c>
      <c r="B33" s="1" t="s">
        <v>122</v>
      </c>
      <c r="C33" s="1" t="s">
        <v>158</v>
      </c>
      <c r="D33" s="1"/>
      <c r="E33" s="1"/>
      <c r="F33" s="1">
        <v>0</v>
      </c>
      <c r="G33" s="1" t="s">
        <v>121</v>
      </c>
      <c r="H33" s="1">
        <v>0</v>
      </c>
      <c r="I33" s="2">
        <v>0</v>
      </c>
      <c r="J33" s="4"/>
      <c r="K33" s="4"/>
      <c r="L33" s="4"/>
      <c r="M33" s="4">
        <v>45677</v>
      </c>
      <c r="N33" s="4"/>
      <c r="O33" s="4"/>
      <c r="P33" s="4"/>
      <c r="Q33" s="4">
        <v>45677</v>
      </c>
      <c r="R33" s="4">
        <v>45677</v>
      </c>
      <c r="S33" s="4"/>
      <c r="T33" s="4">
        <v>45677</v>
      </c>
      <c r="U33" s="4"/>
      <c r="V33" s="4">
        <v>45664</v>
      </c>
      <c r="W33" s="4"/>
      <c r="X33" s="4"/>
      <c r="Y33" s="4">
        <v>45670</v>
      </c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>
        <v>45677</v>
      </c>
      <c r="AK33" s="4"/>
      <c r="AL33" s="4">
        <v>45615</v>
      </c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>
        <v>45660</v>
      </c>
      <c r="BB33" s="4"/>
      <c r="BC33" s="4">
        <v>45663</v>
      </c>
      <c r="BD33" s="4"/>
      <c r="BE33" s="4"/>
      <c r="BF33" s="4">
        <v>45638</v>
      </c>
      <c r="BG33" s="4">
        <v>45615</v>
      </c>
      <c r="BH33" s="4">
        <v>45657</v>
      </c>
      <c r="BI33" s="4">
        <v>45596</v>
      </c>
      <c r="BJ33" s="4">
        <v>45638</v>
      </c>
      <c r="BK33" s="4"/>
      <c r="BL33" s="4">
        <v>45638</v>
      </c>
      <c r="BM33" s="4">
        <v>45637</v>
      </c>
    </row>
    <row r="34" spans="1:65" ht="28.8" x14ac:dyDescent="0.3">
      <c r="A34" s="1">
        <v>999700205</v>
      </c>
      <c r="B34" s="1" t="s">
        <v>123</v>
      </c>
      <c r="C34" s="1" t="s">
        <v>69</v>
      </c>
      <c r="D34" s="1"/>
      <c r="E34" s="1">
        <v>187076</v>
      </c>
      <c r="F34" s="1">
        <v>56</v>
      </c>
      <c r="G34" s="1" t="s">
        <v>124</v>
      </c>
      <c r="H34" s="1">
        <v>50</v>
      </c>
      <c r="I34" s="2">
        <v>6</v>
      </c>
      <c r="J34" s="4"/>
      <c r="K34" s="4"/>
      <c r="L34" s="4"/>
      <c r="M34" s="4">
        <v>45653</v>
      </c>
      <c r="N34" s="4"/>
      <c r="O34" s="4"/>
      <c r="P34" s="4"/>
      <c r="Q34" s="4">
        <v>45665</v>
      </c>
      <c r="R34" s="4">
        <v>45665</v>
      </c>
      <c r="S34" s="4"/>
      <c r="T34" s="4">
        <v>45665</v>
      </c>
      <c r="U34" s="4">
        <v>45709</v>
      </c>
      <c r="V34" s="4">
        <v>45643</v>
      </c>
      <c r="W34" s="4"/>
      <c r="X34" s="4"/>
      <c r="Y34" s="4">
        <v>45653</v>
      </c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>
        <v>45665</v>
      </c>
      <c r="AK34" s="4"/>
      <c r="AL34" s="4">
        <v>45615</v>
      </c>
      <c r="AM34" s="4"/>
      <c r="AN34" s="4"/>
      <c r="AO34" s="4"/>
      <c r="AP34" s="4"/>
      <c r="AQ34" s="4">
        <v>45709</v>
      </c>
      <c r="AR34" s="4"/>
      <c r="AS34" s="4"/>
      <c r="AT34" s="4"/>
      <c r="AU34" s="4"/>
      <c r="AV34" s="4"/>
      <c r="AW34" s="4"/>
      <c r="AX34" s="4"/>
      <c r="AY34" s="4"/>
      <c r="AZ34" s="4"/>
      <c r="BA34" s="4">
        <v>45643</v>
      </c>
      <c r="BB34" s="4"/>
      <c r="BC34" s="4">
        <v>45643</v>
      </c>
      <c r="BD34" s="4"/>
      <c r="BE34" s="4"/>
      <c r="BF34" s="4">
        <v>45638</v>
      </c>
      <c r="BG34" s="4">
        <v>45615</v>
      </c>
      <c r="BH34" s="4">
        <v>45643</v>
      </c>
      <c r="BI34" s="4">
        <v>45596</v>
      </c>
      <c r="BJ34" s="4">
        <v>45638</v>
      </c>
      <c r="BK34" s="4"/>
      <c r="BL34" s="4">
        <v>45638</v>
      </c>
      <c r="BM34" s="4">
        <v>45637</v>
      </c>
    </row>
    <row r="35" spans="1:65" ht="28.8" x14ac:dyDescent="0.3">
      <c r="A35" s="1">
        <v>999700207</v>
      </c>
      <c r="B35" s="1" t="s">
        <v>125</v>
      </c>
      <c r="C35" s="1" t="s">
        <v>69</v>
      </c>
      <c r="D35" s="1"/>
      <c r="E35" s="1">
        <v>191102</v>
      </c>
      <c r="F35" s="1">
        <v>56</v>
      </c>
      <c r="G35" s="1" t="s">
        <v>88</v>
      </c>
      <c r="H35" s="1">
        <v>40</v>
      </c>
      <c r="I35" s="2">
        <v>16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>
        <v>45632</v>
      </c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>
        <v>45632</v>
      </c>
      <c r="BB35" s="4"/>
      <c r="BC35" s="4"/>
      <c r="BD35" s="4"/>
      <c r="BE35" s="4"/>
      <c r="BF35" s="4">
        <v>45631</v>
      </c>
      <c r="BG35" s="4">
        <v>45630</v>
      </c>
      <c r="BH35" s="4">
        <v>45632</v>
      </c>
      <c r="BI35" s="4">
        <v>45632</v>
      </c>
      <c r="BJ35" s="4">
        <v>45631</v>
      </c>
      <c r="BK35" s="4">
        <v>45631</v>
      </c>
      <c r="BL35" s="4">
        <v>45632</v>
      </c>
      <c r="BM35" s="4">
        <v>45631</v>
      </c>
    </row>
    <row r="36" spans="1:65" ht="28.8" x14ac:dyDescent="0.3">
      <c r="A36" s="1">
        <v>999700208</v>
      </c>
      <c r="B36" s="1" t="s">
        <v>126</v>
      </c>
      <c r="C36" s="1" t="s">
        <v>69</v>
      </c>
      <c r="D36" s="1"/>
      <c r="E36" s="1">
        <v>189203</v>
      </c>
      <c r="F36" s="1">
        <v>56</v>
      </c>
      <c r="G36" s="1" t="s">
        <v>127</v>
      </c>
      <c r="H36" s="1">
        <v>54</v>
      </c>
      <c r="I36" s="2">
        <v>2</v>
      </c>
      <c r="J36" s="4"/>
      <c r="K36" s="4"/>
      <c r="L36" s="4"/>
      <c r="M36" s="4">
        <v>45681</v>
      </c>
      <c r="N36" s="4"/>
      <c r="O36" s="4"/>
      <c r="P36" s="4"/>
      <c r="Q36" s="4">
        <v>45681</v>
      </c>
      <c r="R36" s="4">
        <v>45681</v>
      </c>
      <c r="S36" s="4"/>
      <c r="T36" s="4">
        <v>45681</v>
      </c>
      <c r="U36" s="4"/>
      <c r="V36" s="4">
        <v>45664</v>
      </c>
      <c r="W36" s="4"/>
      <c r="X36" s="4"/>
      <c r="Y36" s="4">
        <v>45670</v>
      </c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>
        <v>45681</v>
      </c>
      <c r="AK36" s="4"/>
      <c r="AL36" s="4">
        <v>45615</v>
      </c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>
        <v>45659</v>
      </c>
      <c r="BB36" s="4"/>
      <c r="BC36" s="4">
        <v>45663</v>
      </c>
      <c r="BD36" s="4"/>
      <c r="BE36" s="4"/>
      <c r="BF36" s="4">
        <v>45638</v>
      </c>
      <c r="BG36" s="4">
        <v>45630</v>
      </c>
      <c r="BH36" s="4">
        <v>45657</v>
      </c>
      <c r="BI36" s="4">
        <v>45596</v>
      </c>
      <c r="BJ36" s="4">
        <v>45638</v>
      </c>
      <c r="BK36" s="4"/>
      <c r="BL36" s="4">
        <v>45638</v>
      </c>
      <c r="BM36" s="4">
        <v>45637</v>
      </c>
    </row>
    <row r="37" spans="1:65" ht="28.8" x14ac:dyDescent="0.3">
      <c r="A37" s="1">
        <v>999700209</v>
      </c>
      <c r="B37" s="1" t="s">
        <v>128</v>
      </c>
      <c r="C37" s="1" t="s">
        <v>69</v>
      </c>
      <c r="D37" s="1"/>
      <c r="E37" s="1">
        <v>189780</v>
      </c>
      <c r="F37" s="1">
        <v>56</v>
      </c>
      <c r="G37" s="1" t="s">
        <v>129</v>
      </c>
      <c r="H37" s="1">
        <v>25</v>
      </c>
      <c r="I37" s="2">
        <v>31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>
        <v>45645</v>
      </c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>
        <v>45680</v>
      </c>
      <c r="BB37" s="4"/>
      <c r="BC37" s="4"/>
      <c r="BD37" s="4"/>
      <c r="BE37" s="4"/>
      <c r="BF37" s="4">
        <v>45645</v>
      </c>
      <c r="BG37" s="4">
        <v>45645</v>
      </c>
      <c r="BH37" s="4">
        <v>45645</v>
      </c>
      <c r="BI37" s="4">
        <v>45645</v>
      </c>
      <c r="BJ37" s="4">
        <v>45670</v>
      </c>
      <c r="BK37" s="4">
        <v>45670</v>
      </c>
      <c r="BL37" s="4">
        <v>45670</v>
      </c>
      <c r="BM37" s="4">
        <v>45670</v>
      </c>
    </row>
    <row r="38" spans="1:65" ht="28.8" x14ac:dyDescent="0.3">
      <c r="A38" s="1">
        <v>999700210</v>
      </c>
      <c r="B38" s="1" t="s">
        <v>130</v>
      </c>
      <c r="C38" s="1" t="s">
        <v>69</v>
      </c>
      <c r="D38" s="1"/>
      <c r="E38" s="1">
        <v>189671</v>
      </c>
      <c r="F38" s="1">
        <v>56</v>
      </c>
      <c r="G38" s="1" t="s">
        <v>102</v>
      </c>
      <c r="H38" s="1">
        <v>35</v>
      </c>
      <c r="I38" s="2">
        <v>21</v>
      </c>
      <c r="J38" s="4"/>
      <c r="K38" s="4"/>
      <c r="L38" s="4"/>
      <c r="M38" s="4">
        <v>45663</v>
      </c>
      <c r="N38" s="4"/>
      <c r="O38" s="4"/>
      <c r="P38" s="4"/>
      <c r="Q38" s="4">
        <v>45671</v>
      </c>
      <c r="R38" s="4">
        <v>45663</v>
      </c>
      <c r="S38" s="4"/>
      <c r="T38" s="4">
        <v>45665</v>
      </c>
      <c r="U38" s="4"/>
      <c r="V38" s="4">
        <v>45657</v>
      </c>
      <c r="W38" s="4"/>
      <c r="X38" s="4"/>
      <c r="Y38" s="4">
        <v>45665</v>
      </c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>
        <v>45670</v>
      </c>
      <c r="AK38" s="4"/>
      <c r="AL38" s="4">
        <v>45632</v>
      </c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>
        <v>45657</v>
      </c>
      <c r="BB38" s="4"/>
      <c r="BC38" s="4">
        <v>45657</v>
      </c>
      <c r="BD38" s="4"/>
      <c r="BE38" s="4"/>
      <c r="BF38" s="4">
        <v>45638</v>
      </c>
      <c r="BG38" s="4">
        <v>45632</v>
      </c>
      <c r="BH38" s="4">
        <v>45657</v>
      </c>
      <c r="BI38" s="4">
        <v>45632</v>
      </c>
      <c r="BJ38" s="4">
        <v>45638</v>
      </c>
      <c r="BK38" s="4"/>
      <c r="BL38" s="4">
        <v>45638</v>
      </c>
      <c r="BM38" s="4">
        <v>45637</v>
      </c>
    </row>
    <row r="39" spans="1:65" ht="28.8" x14ac:dyDescent="0.3">
      <c r="A39" s="1">
        <v>999700211</v>
      </c>
      <c r="B39" s="1" t="s">
        <v>131</v>
      </c>
      <c r="C39" s="1" t="s">
        <v>158</v>
      </c>
      <c r="D39" s="1"/>
      <c r="E39" s="1"/>
      <c r="F39" s="1">
        <v>0</v>
      </c>
      <c r="G39" s="1" t="s">
        <v>121</v>
      </c>
      <c r="H39" s="1">
        <v>0</v>
      </c>
      <c r="I39" s="2">
        <v>0</v>
      </c>
      <c r="J39" s="4"/>
      <c r="K39" s="4"/>
      <c r="L39" s="4"/>
      <c r="M39" s="4">
        <v>45681</v>
      </c>
      <c r="N39" s="4"/>
      <c r="O39" s="4"/>
      <c r="P39" s="4"/>
      <c r="Q39" s="4">
        <v>45681</v>
      </c>
      <c r="R39" s="4">
        <v>45681</v>
      </c>
      <c r="S39" s="4"/>
      <c r="T39" s="4">
        <v>45681</v>
      </c>
      <c r="U39" s="4"/>
      <c r="V39" s="4">
        <v>45664</v>
      </c>
      <c r="W39" s="4"/>
      <c r="X39" s="4"/>
      <c r="Y39" s="4">
        <v>45670</v>
      </c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>
        <v>45681</v>
      </c>
      <c r="AK39" s="4"/>
      <c r="AL39" s="4">
        <v>45615</v>
      </c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>
        <v>45663</v>
      </c>
      <c r="BB39" s="4"/>
      <c r="BC39" s="4">
        <v>45663</v>
      </c>
      <c r="BD39" s="4"/>
      <c r="BE39" s="4"/>
      <c r="BF39" s="4">
        <v>45638</v>
      </c>
      <c r="BG39" s="4">
        <v>45615</v>
      </c>
      <c r="BH39" s="4">
        <v>45657</v>
      </c>
      <c r="BI39" s="4">
        <v>45596</v>
      </c>
      <c r="BJ39" s="4">
        <v>45638</v>
      </c>
      <c r="BK39" s="4"/>
      <c r="BL39" s="4">
        <v>45638</v>
      </c>
      <c r="BM39" s="4">
        <v>45637</v>
      </c>
    </row>
    <row r="40" spans="1:65" ht="28.8" x14ac:dyDescent="0.3">
      <c r="A40" s="1">
        <v>999700212</v>
      </c>
      <c r="B40" s="1" t="s">
        <v>132</v>
      </c>
      <c r="C40" s="1" t="s">
        <v>158</v>
      </c>
      <c r="D40" s="1"/>
      <c r="E40" s="1"/>
      <c r="F40" s="1">
        <v>0</v>
      </c>
      <c r="G40" s="1" t="s">
        <v>121</v>
      </c>
      <c r="H40" s="1">
        <v>0</v>
      </c>
      <c r="I40" s="2">
        <v>0</v>
      </c>
      <c r="J40" s="4"/>
      <c r="K40" s="4"/>
      <c r="L40" s="4"/>
      <c r="M40" s="4">
        <v>45681</v>
      </c>
      <c r="N40" s="4"/>
      <c r="O40" s="4"/>
      <c r="P40" s="4"/>
      <c r="Q40" s="4">
        <v>45681</v>
      </c>
      <c r="R40" s="4">
        <v>45681</v>
      </c>
      <c r="S40" s="4"/>
      <c r="T40" s="4">
        <v>45681</v>
      </c>
      <c r="U40" s="4"/>
      <c r="V40" s="4">
        <v>45664</v>
      </c>
      <c r="W40" s="4"/>
      <c r="X40" s="4"/>
      <c r="Y40" s="4">
        <v>45670</v>
      </c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>
        <v>45681</v>
      </c>
      <c r="AK40" s="4"/>
      <c r="AL40" s="4">
        <v>45615</v>
      </c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>
        <v>45663</v>
      </c>
      <c r="BB40" s="4"/>
      <c r="BC40" s="4">
        <v>45663</v>
      </c>
      <c r="BD40" s="4"/>
      <c r="BE40" s="4"/>
      <c r="BF40" s="4">
        <v>45638</v>
      </c>
      <c r="BG40" s="4">
        <v>45615</v>
      </c>
      <c r="BH40" s="4">
        <v>45657</v>
      </c>
      <c r="BI40" s="4">
        <v>45596</v>
      </c>
      <c r="BJ40" s="4">
        <v>45638</v>
      </c>
      <c r="BK40" s="4"/>
      <c r="BL40" s="4">
        <v>45638</v>
      </c>
      <c r="BM40" s="4">
        <v>45637</v>
      </c>
    </row>
    <row r="41" spans="1:65" ht="28.8" x14ac:dyDescent="0.3">
      <c r="A41" s="1">
        <v>999700213</v>
      </c>
      <c r="B41" s="1" t="s">
        <v>133</v>
      </c>
      <c r="C41" s="1" t="s">
        <v>158</v>
      </c>
      <c r="D41" s="1"/>
      <c r="E41" s="1"/>
      <c r="F41" s="1">
        <v>0</v>
      </c>
      <c r="G41" s="1" t="s">
        <v>121</v>
      </c>
      <c r="H41" s="1">
        <v>0</v>
      </c>
      <c r="I41" s="2">
        <v>0</v>
      </c>
      <c r="J41" s="4"/>
      <c r="K41" s="4"/>
      <c r="L41" s="4"/>
      <c r="M41" s="4"/>
      <c r="N41" s="4"/>
      <c r="O41" s="4"/>
      <c r="P41" s="4"/>
      <c r="Q41" s="4">
        <v>45680</v>
      </c>
      <c r="R41" s="4">
        <v>45680</v>
      </c>
      <c r="S41" s="4"/>
      <c r="T41" s="4">
        <v>45680</v>
      </c>
      <c r="U41" s="4"/>
      <c r="V41" s="4">
        <v>45664</v>
      </c>
      <c r="W41" s="4"/>
      <c r="X41" s="4"/>
      <c r="Y41" s="4">
        <v>45670</v>
      </c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>
        <v>45680</v>
      </c>
      <c r="AK41" s="4"/>
      <c r="AL41" s="4">
        <v>45615</v>
      </c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>
        <v>45663</v>
      </c>
      <c r="BB41" s="4"/>
      <c r="BC41" s="4">
        <v>45663</v>
      </c>
      <c r="BD41" s="4"/>
      <c r="BE41" s="4"/>
      <c r="BF41" s="4">
        <v>45638</v>
      </c>
      <c r="BG41" s="4">
        <v>45615</v>
      </c>
      <c r="BH41" s="4">
        <v>45660</v>
      </c>
      <c r="BI41" s="4">
        <v>45596</v>
      </c>
      <c r="BJ41" s="4">
        <v>45638</v>
      </c>
      <c r="BK41" s="4">
        <v>45667</v>
      </c>
      <c r="BL41" s="4">
        <v>45638</v>
      </c>
      <c r="BM41" s="4">
        <v>45637</v>
      </c>
    </row>
    <row r="42" spans="1:65" ht="28.8" x14ac:dyDescent="0.3">
      <c r="A42" s="1">
        <v>999700214</v>
      </c>
      <c r="B42" s="1" t="s">
        <v>134</v>
      </c>
      <c r="C42" s="1" t="s">
        <v>158</v>
      </c>
      <c r="D42" s="1"/>
      <c r="E42" s="1"/>
      <c r="F42" s="1">
        <v>0</v>
      </c>
      <c r="G42" s="1" t="s">
        <v>135</v>
      </c>
      <c r="H42" s="1">
        <v>0</v>
      </c>
      <c r="I42" s="2">
        <v>0</v>
      </c>
      <c r="J42" s="4"/>
      <c r="K42" s="4"/>
      <c r="L42" s="4"/>
      <c r="M42" s="4"/>
      <c r="N42" s="4"/>
      <c r="O42" s="4"/>
      <c r="P42" s="4"/>
      <c r="Q42" s="4">
        <v>45680</v>
      </c>
      <c r="R42" s="4">
        <v>45680</v>
      </c>
      <c r="S42" s="4"/>
      <c r="T42" s="4">
        <v>45680</v>
      </c>
      <c r="U42" s="4"/>
      <c r="V42" s="4"/>
      <c r="W42" s="4"/>
      <c r="X42" s="4"/>
      <c r="Y42" s="4">
        <v>45670</v>
      </c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>
        <v>45680</v>
      </c>
      <c r="AK42" s="4"/>
      <c r="AL42" s="4">
        <v>45615</v>
      </c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>
        <v>45665</v>
      </c>
      <c r="BB42" s="4"/>
      <c r="BC42" s="4">
        <v>45663</v>
      </c>
      <c r="BD42" s="4"/>
      <c r="BE42" s="4"/>
      <c r="BF42" s="4">
        <v>45638</v>
      </c>
      <c r="BG42" s="4">
        <v>45615</v>
      </c>
      <c r="BH42" s="4">
        <v>45660</v>
      </c>
      <c r="BI42" s="4">
        <v>45596</v>
      </c>
      <c r="BJ42" s="4">
        <v>45638</v>
      </c>
      <c r="BK42" s="4"/>
      <c r="BL42" s="4">
        <v>45638</v>
      </c>
      <c r="BM42" s="4">
        <v>45637</v>
      </c>
    </row>
    <row r="43" spans="1:65" ht="28.8" x14ac:dyDescent="0.3">
      <c r="A43" s="1">
        <v>999700215</v>
      </c>
      <c r="B43" s="1" t="s">
        <v>136</v>
      </c>
      <c r="C43" s="1" t="s">
        <v>158</v>
      </c>
      <c r="D43" s="1"/>
      <c r="E43" s="1"/>
      <c r="F43" s="1">
        <v>0</v>
      </c>
      <c r="G43" s="1" t="s">
        <v>137</v>
      </c>
      <c r="H43" s="1">
        <v>0</v>
      </c>
      <c r="I43" s="2">
        <v>0</v>
      </c>
      <c r="J43" s="4"/>
      <c r="K43" s="4"/>
      <c r="L43" s="4"/>
      <c r="M43" s="4">
        <v>45665</v>
      </c>
      <c r="N43" s="4"/>
      <c r="O43" s="4"/>
      <c r="P43" s="4"/>
      <c r="Q43" s="4">
        <v>45678</v>
      </c>
      <c r="R43" s="4">
        <v>45665</v>
      </c>
      <c r="S43" s="4"/>
      <c r="T43" s="4">
        <v>45678</v>
      </c>
      <c r="U43" s="4"/>
      <c r="V43" s="4">
        <v>45660</v>
      </c>
      <c r="W43" s="4"/>
      <c r="X43" s="4"/>
      <c r="Y43" s="4">
        <v>45660</v>
      </c>
      <c r="Z43" s="4">
        <v>45678</v>
      </c>
      <c r="AA43" s="4"/>
      <c r="AB43" s="4"/>
      <c r="AC43" s="4"/>
      <c r="AD43" s="4"/>
      <c r="AE43" s="4"/>
      <c r="AF43" s="4"/>
      <c r="AG43" s="4"/>
      <c r="AH43" s="4"/>
      <c r="AI43" s="4"/>
      <c r="AJ43" s="4">
        <v>45678</v>
      </c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>
        <v>45659</v>
      </c>
      <c r="BB43" s="4"/>
      <c r="BC43" s="4">
        <v>45659</v>
      </c>
      <c r="BD43" s="4"/>
      <c r="BE43" s="4"/>
      <c r="BF43" s="4">
        <v>45653</v>
      </c>
      <c r="BG43" s="4"/>
      <c r="BH43" s="4">
        <v>45653</v>
      </c>
      <c r="BI43" s="4">
        <v>45596</v>
      </c>
      <c r="BJ43" s="4">
        <v>45638</v>
      </c>
      <c r="BK43" s="4"/>
      <c r="BL43" s="4">
        <v>45638</v>
      </c>
      <c r="BM43" s="4">
        <v>45637</v>
      </c>
    </row>
    <row r="44" spans="1:65" ht="28.8" x14ac:dyDescent="0.3">
      <c r="A44" s="1">
        <v>999700216</v>
      </c>
      <c r="B44" s="1" t="s">
        <v>138</v>
      </c>
      <c r="C44" s="1" t="s">
        <v>158</v>
      </c>
      <c r="D44" s="1"/>
      <c r="E44" s="1"/>
      <c r="F44" s="1">
        <v>0</v>
      </c>
      <c r="G44" s="1" t="s">
        <v>93</v>
      </c>
      <c r="H44" s="1">
        <v>0</v>
      </c>
      <c r="I44" s="2">
        <v>0</v>
      </c>
      <c r="J44" s="4"/>
      <c r="K44" s="4"/>
      <c r="L44" s="4"/>
      <c r="M44" s="4">
        <v>45649</v>
      </c>
      <c r="N44" s="4"/>
      <c r="O44" s="4"/>
      <c r="P44" s="4"/>
      <c r="Q44" s="4">
        <v>45664</v>
      </c>
      <c r="R44" s="4">
        <v>45657</v>
      </c>
      <c r="S44" s="4"/>
      <c r="T44" s="4">
        <v>45657</v>
      </c>
      <c r="U44" s="4">
        <v>45665</v>
      </c>
      <c r="V44" s="4">
        <v>45645</v>
      </c>
      <c r="W44" s="4"/>
      <c r="X44" s="4"/>
      <c r="Y44" s="4">
        <v>45646</v>
      </c>
      <c r="Z44" s="4">
        <v>45680</v>
      </c>
      <c r="AA44" s="4"/>
      <c r="AB44" s="4"/>
      <c r="AC44" s="4">
        <v>45674</v>
      </c>
      <c r="AD44" s="4"/>
      <c r="AE44" s="4"/>
      <c r="AF44" s="4"/>
      <c r="AG44" s="4"/>
      <c r="AH44" s="4"/>
      <c r="AI44" s="4"/>
      <c r="AJ44" s="4">
        <v>45665</v>
      </c>
      <c r="AK44" s="4"/>
      <c r="AL44" s="4">
        <v>45609</v>
      </c>
      <c r="AM44" s="4"/>
      <c r="AN44" s="4"/>
      <c r="AO44" s="4"/>
      <c r="AP44" s="4"/>
      <c r="AQ44" s="4">
        <v>45673</v>
      </c>
      <c r="AR44" s="4"/>
      <c r="AS44" s="4"/>
      <c r="AT44" s="4"/>
      <c r="AU44" s="4"/>
      <c r="AV44" s="4"/>
      <c r="AW44" s="4"/>
      <c r="AX44" s="4"/>
      <c r="AY44" s="4"/>
      <c r="AZ44" s="4"/>
      <c r="BA44" s="4">
        <v>45642</v>
      </c>
      <c r="BB44" s="4"/>
      <c r="BC44" s="4">
        <v>45643</v>
      </c>
      <c r="BD44" s="4"/>
      <c r="BE44" s="4"/>
      <c r="BF44" s="4">
        <v>45616</v>
      </c>
      <c r="BG44" s="4">
        <v>45614</v>
      </c>
      <c r="BH44" s="4">
        <v>45639</v>
      </c>
      <c r="BI44" s="4">
        <v>45594</v>
      </c>
      <c r="BJ44" s="4">
        <v>45622</v>
      </c>
      <c r="BK44" s="4">
        <v>45623</v>
      </c>
      <c r="BL44" s="4">
        <v>45636</v>
      </c>
      <c r="BM44" s="4">
        <v>45636</v>
      </c>
    </row>
    <row r="45" spans="1:65" ht="28.8" x14ac:dyDescent="0.3">
      <c r="A45" s="1">
        <v>999700217</v>
      </c>
      <c r="B45" s="1" t="s">
        <v>139</v>
      </c>
      <c r="C45" s="1" t="s">
        <v>69</v>
      </c>
      <c r="D45" s="1"/>
      <c r="E45" s="1">
        <v>191949</v>
      </c>
      <c r="F45" s="1">
        <v>56</v>
      </c>
      <c r="G45" s="1" t="s">
        <v>140</v>
      </c>
      <c r="H45" s="1">
        <v>39</v>
      </c>
      <c r="I45" s="2">
        <v>17</v>
      </c>
      <c r="J45" s="4"/>
      <c r="K45" s="4"/>
      <c r="L45" s="4"/>
      <c r="M45" s="4">
        <v>45649</v>
      </c>
      <c r="N45" s="4"/>
      <c r="O45" s="4"/>
      <c r="P45" s="4"/>
      <c r="Q45" s="4">
        <v>45664</v>
      </c>
      <c r="R45" s="4">
        <v>45657</v>
      </c>
      <c r="S45" s="4"/>
      <c r="T45" s="4">
        <v>45657</v>
      </c>
      <c r="U45" s="4">
        <v>45665</v>
      </c>
      <c r="V45" s="4">
        <v>45645</v>
      </c>
      <c r="W45" s="4"/>
      <c r="X45" s="4"/>
      <c r="Y45" s="4">
        <v>45646</v>
      </c>
      <c r="Z45" s="4">
        <v>45680</v>
      </c>
      <c r="AA45" s="4"/>
      <c r="AB45" s="4"/>
      <c r="AC45" s="4">
        <v>45674</v>
      </c>
      <c r="AD45" s="4"/>
      <c r="AE45" s="4"/>
      <c r="AF45" s="4"/>
      <c r="AG45" s="4"/>
      <c r="AH45" s="4"/>
      <c r="AI45" s="4"/>
      <c r="AJ45" s="4">
        <v>45665</v>
      </c>
      <c r="AK45" s="4"/>
      <c r="AL45" s="4">
        <v>45614</v>
      </c>
      <c r="AM45" s="4"/>
      <c r="AN45" s="4"/>
      <c r="AO45" s="4"/>
      <c r="AP45" s="4"/>
      <c r="AQ45" s="4">
        <v>45673</v>
      </c>
      <c r="AR45" s="4"/>
      <c r="AS45" s="4"/>
      <c r="AT45" s="4"/>
      <c r="AU45" s="4"/>
      <c r="AV45" s="4"/>
      <c r="AW45" s="4"/>
      <c r="AX45" s="4"/>
      <c r="AY45" s="4"/>
      <c r="AZ45" s="4"/>
      <c r="BA45" s="4">
        <v>45642</v>
      </c>
      <c r="BB45" s="4"/>
      <c r="BC45" s="4">
        <v>45643</v>
      </c>
      <c r="BD45" s="4"/>
      <c r="BE45" s="4"/>
      <c r="BF45" s="4">
        <v>45616</v>
      </c>
      <c r="BG45" s="4">
        <v>45614</v>
      </c>
      <c r="BH45" s="4">
        <v>45639</v>
      </c>
      <c r="BI45" s="4">
        <v>45614</v>
      </c>
      <c r="BJ45" s="4">
        <v>45622</v>
      </c>
      <c r="BK45" s="4">
        <v>45623</v>
      </c>
      <c r="BL45" s="4">
        <v>45636</v>
      </c>
      <c r="BM45" s="4">
        <v>45636</v>
      </c>
    </row>
    <row r="46" spans="1:65" ht="28.8" x14ac:dyDescent="0.3">
      <c r="A46" s="1">
        <v>999700227</v>
      </c>
      <c r="B46" s="1" t="s">
        <v>141</v>
      </c>
      <c r="C46" s="1" t="s">
        <v>96</v>
      </c>
      <c r="D46" s="1"/>
      <c r="E46" s="1"/>
      <c r="F46" s="1">
        <v>0</v>
      </c>
      <c r="G46" s="1" t="s">
        <v>97</v>
      </c>
      <c r="H46" s="1">
        <v>0</v>
      </c>
      <c r="I46" s="2">
        <v>0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</row>
    <row r="47" spans="1:65" ht="28.8" x14ac:dyDescent="0.3">
      <c r="A47" s="1" t="s">
        <v>142</v>
      </c>
      <c r="B47" s="1" t="s">
        <v>143</v>
      </c>
      <c r="C47" s="1" t="s">
        <v>144</v>
      </c>
      <c r="D47" s="1"/>
      <c r="E47" s="1">
        <v>196617</v>
      </c>
      <c r="F47" s="1">
        <v>110</v>
      </c>
      <c r="G47" s="1">
        <v>0</v>
      </c>
      <c r="H47" s="1">
        <v>0</v>
      </c>
      <c r="I47" s="2">
        <v>110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</row>
    <row r="48" spans="1:65" ht="43.2" x14ac:dyDescent="0.3">
      <c r="A48" s="1" t="s">
        <v>145</v>
      </c>
      <c r="B48" s="1" t="s">
        <v>146</v>
      </c>
      <c r="C48" s="1" t="s">
        <v>147</v>
      </c>
      <c r="D48" s="1"/>
      <c r="E48" s="1"/>
      <c r="F48" s="1">
        <v>0</v>
      </c>
      <c r="G48" s="1" t="s">
        <v>148</v>
      </c>
      <c r="H48" s="1">
        <v>0</v>
      </c>
      <c r="I48" s="2">
        <v>0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>
        <v>45642</v>
      </c>
      <c r="U48" s="4"/>
      <c r="V48" s="4"/>
      <c r="W48" s="4"/>
      <c r="X48" s="4"/>
      <c r="Y48" s="4"/>
      <c r="Z48" s="4"/>
      <c r="AA48" s="4"/>
      <c r="AB48" s="4"/>
      <c r="AC48" s="4">
        <v>45677</v>
      </c>
      <c r="AD48" s="4"/>
      <c r="AE48" s="4"/>
      <c r="AF48" s="4"/>
      <c r="AG48" s="4"/>
      <c r="AH48" s="4"/>
      <c r="AI48" s="4"/>
      <c r="AJ48" s="4">
        <v>45656</v>
      </c>
      <c r="AK48" s="4"/>
      <c r="AL48" s="4"/>
      <c r="AM48" s="4">
        <v>45656</v>
      </c>
      <c r="AN48" s="4"/>
      <c r="AO48" s="4"/>
      <c r="AP48" s="4"/>
      <c r="AQ48" s="4">
        <v>45685</v>
      </c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>
        <v>45672</v>
      </c>
      <c r="BH48" s="4"/>
      <c r="BI48" s="4">
        <v>45673</v>
      </c>
      <c r="BJ48" s="4"/>
      <c r="BK48" s="4">
        <v>45672</v>
      </c>
      <c r="BL48" s="4"/>
      <c r="BM48" s="4">
        <v>45672</v>
      </c>
    </row>
    <row r="49" spans="1:65" ht="43.2" x14ac:dyDescent="0.3">
      <c r="A49" s="1" t="s">
        <v>149</v>
      </c>
      <c r="B49" s="1" t="s">
        <v>150</v>
      </c>
      <c r="C49" s="1" t="s">
        <v>69</v>
      </c>
      <c r="D49" s="1"/>
      <c r="E49" s="1">
        <v>188474</v>
      </c>
      <c r="F49" s="1">
        <v>110</v>
      </c>
      <c r="G49" s="1" t="s">
        <v>127</v>
      </c>
      <c r="H49" s="1">
        <v>64</v>
      </c>
      <c r="I49" s="2">
        <v>46</v>
      </c>
      <c r="J49" s="4"/>
      <c r="K49" s="4"/>
      <c r="L49" s="4"/>
      <c r="M49" s="4"/>
      <c r="N49" s="4">
        <v>45635</v>
      </c>
      <c r="O49" s="4"/>
      <c r="P49" s="4"/>
      <c r="Q49" s="4"/>
      <c r="R49" s="4"/>
      <c r="S49" s="4"/>
      <c r="T49" s="4"/>
      <c r="U49" s="4"/>
      <c r="V49" s="4">
        <v>45665</v>
      </c>
      <c r="W49" s="4"/>
      <c r="X49" s="4"/>
      <c r="Y49" s="4">
        <v>45665</v>
      </c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>
        <v>45629</v>
      </c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>
        <v>45665</v>
      </c>
      <c r="BB49" s="4"/>
      <c r="BC49" s="4">
        <v>45665</v>
      </c>
      <c r="BD49" s="4"/>
      <c r="BE49" s="4"/>
      <c r="BF49" s="4">
        <v>45653</v>
      </c>
      <c r="BG49" s="4">
        <v>45629</v>
      </c>
      <c r="BH49" s="4">
        <v>45653</v>
      </c>
      <c r="BI49" s="4">
        <v>45629</v>
      </c>
      <c r="BJ49" s="4">
        <v>45653</v>
      </c>
      <c r="BK49" s="4">
        <v>45631</v>
      </c>
      <c r="BL49" s="4">
        <v>45653</v>
      </c>
      <c r="BM49" s="4">
        <v>45653</v>
      </c>
    </row>
    <row r="50" spans="1:65" ht="28.8" x14ac:dyDescent="0.3">
      <c r="A50" s="1" t="s">
        <v>151</v>
      </c>
      <c r="B50" s="1" t="s">
        <v>152</v>
      </c>
      <c r="C50" s="1" t="s">
        <v>161</v>
      </c>
      <c r="D50" s="1"/>
      <c r="E50" s="1"/>
      <c r="F50" s="1">
        <v>0</v>
      </c>
      <c r="G50" s="1" t="s">
        <v>153</v>
      </c>
      <c r="H50" s="1">
        <v>0</v>
      </c>
      <c r="I50" s="2">
        <v>0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>
        <v>45673</v>
      </c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>
        <v>45673</v>
      </c>
      <c r="BG50" s="4">
        <v>45673</v>
      </c>
      <c r="BH50" s="4"/>
      <c r="BI50" s="4">
        <v>45673</v>
      </c>
      <c r="BJ50" s="4">
        <v>45673</v>
      </c>
      <c r="BK50" s="4">
        <v>45673</v>
      </c>
      <c r="BL50" s="4">
        <v>45673</v>
      </c>
      <c r="BM50" s="4">
        <v>45673</v>
      </c>
    </row>
    <row r="51" spans="1:65" ht="28.8" x14ac:dyDescent="0.3">
      <c r="A51" s="1" t="s">
        <v>154</v>
      </c>
      <c r="B51" s="1" t="s">
        <v>155</v>
      </c>
      <c r="C51" s="1" t="s">
        <v>69</v>
      </c>
      <c r="D51" s="1"/>
      <c r="E51" s="1">
        <v>194728</v>
      </c>
      <c r="F51" s="1">
        <v>110</v>
      </c>
      <c r="G51" s="1" t="s">
        <v>156</v>
      </c>
      <c r="H51" s="1">
        <v>108</v>
      </c>
      <c r="I51" s="2">
        <v>2</v>
      </c>
      <c r="J51" s="4"/>
      <c r="K51" s="4"/>
      <c r="L51" s="4"/>
      <c r="M51" s="4">
        <v>45680</v>
      </c>
      <c r="N51" s="4"/>
      <c r="O51" s="4"/>
      <c r="P51" s="4"/>
      <c r="Q51" s="4">
        <v>45680</v>
      </c>
      <c r="R51" s="4">
        <v>45680</v>
      </c>
      <c r="S51" s="4"/>
      <c r="T51" s="4">
        <v>45680</v>
      </c>
      <c r="U51" s="4"/>
      <c r="V51" s="4">
        <v>45665</v>
      </c>
      <c r="W51" s="4"/>
      <c r="X51" s="4"/>
      <c r="Y51" s="4">
        <v>45670</v>
      </c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>
        <v>45680</v>
      </c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>
        <v>45660</v>
      </c>
      <c r="BB51" s="4"/>
      <c r="BC51" s="4">
        <v>45663</v>
      </c>
      <c r="BD51" s="4"/>
      <c r="BE51" s="4"/>
      <c r="BF51" s="4">
        <v>45638</v>
      </c>
      <c r="BG51" s="4"/>
      <c r="BH51" s="4">
        <v>45657</v>
      </c>
      <c r="BI51" s="4"/>
      <c r="BJ51" s="4">
        <v>45638</v>
      </c>
      <c r="BK51" s="4"/>
      <c r="BL51" s="4">
        <v>45638</v>
      </c>
      <c r="BM51" s="4">
        <v>45638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1D7C8-D4F8-4008-BC7B-8464B13C537C}">
  <dimension ref="A1:BN41"/>
  <sheetViews>
    <sheetView zoomScale="75" zoomScaleNormal="75" workbookViewId="0">
      <selection activeCell="D6" sqref="D6"/>
    </sheetView>
  </sheetViews>
  <sheetFormatPr defaultRowHeight="14.4" x14ac:dyDescent="0.3"/>
  <cols>
    <col min="1" max="1" width="11.44140625" customWidth="1"/>
    <col min="2" max="2" width="12.6640625" customWidth="1"/>
    <col min="3" max="4" width="34.88671875" bestFit="1" customWidth="1"/>
    <col min="5" max="5" width="19.33203125" bestFit="1" customWidth="1"/>
    <col min="6" max="6" width="6.77734375" bestFit="1" customWidth="1"/>
    <col min="7" max="7" width="15.77734375" bestFit="1" customWidth="1"/>
    <col min="8" max="8" width="13.6640625" customWidth="1"/>
    <col min="9" max="9" width="12.6640625" customWidth="1"/>
    <col min="10" max="10" width="13.44140625" customWidth="1"/>
    <col min="11" max="66" width="6.6640625" customWidth="1"/>
  </cols>
  <sheetData>
    <row r="1" spans="1:66" ht="43.2" x14ac:dyDescent="0.3">
      <c r="A1" s="3" t="s">
        <v>163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164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</row>
    <row r="2" spans="1:66" ht="28.8" x14ac:dyDescent="0.3">
      <c r="A2" s="1">
        <v>110</v>
      </c>
      <c r="B2" s="1">
        <v>999700155</v>
      </c>
      <c r="C2" s="1" t="s">
        <v>165</v>
      </c>
      <c r="D2" s="1" t="s">
        <v>166</v>
      </c>
      <c r="E2" s="1"/>
      <c r="F2" s="1"/>
      <c r="G2" s="1">
        <v>0</v>
      </c>
      <c r="H2" s="2">
        <v>55</v>
      </c>
      <c r="I2" s="1">
        <v>0</v>
      </c>
      <c r="J2" s="2">
        <v>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</row>
    <row r="3" spans="1:66" ht="43.2" x14ac:dyDescent="0.3">
      <c r="A3" s="1">
        <v>110</v>
      </c>
      <c r="B3" s="1">
        <v>999700157</v>
      </c>
      <c r="C3" s="1" t="s">
        <v>167</v>
      </c>
      <c r="D3" s="1" t="s">
        <v>168</v>
      </c>
      <c r="E3" s="1"/>
      <c r="F3" s="1">
        <v>185710</v>
      </c>
      <c r="G3" s="1">
        <v>54</v>
      </c>
      <c r="H3" s="2">
        <v>21</v>
      </c>
      <c r="I3" s="1">
        <v>21</v>
      </c>
      <c r="J3" s="2">
        <v>33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</row>
    <row r="4" spans="1:66" ht="28.8" x14ac:dyDescent="0.3">
      <c r="A4" s="1">
        <v>110</v>
      </c>
      <c r="B4" s="1">
        <v>999700223</v>
      </c>
      <c r="C4" s="1" t="s">
        <v>169</v>
      </c>
      <c r="D4" s="1" t="s">
        <v>168</v>
      </c>
      <c r="E4" s="1"/>
      <c r="F4" s="1">
        <v>188840</v>
      </c>
      <c r="G4" s="1">
        <v>54</v>
      </c>
      <c r="H4" s="2">
        <v>0</v>
      </c>
      <c r="I4" s="1">
        <v>53</v>
      </c>
      <c r="J4" s="2">
        <v>1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</row>
    <row r="5" spans="1:66" ht="28.8" x14ac:dyDescent="0.3">
      <c r="A5" s="1">
        <v>110</v>
      </c>
      <c r="B5" s="1">
        <v>999700225</v>
      </c>
      <c r="C5" s="1" t="s">
        <v>170</v>
      </c>
      <c r="D5" s="1" t="s">
        <v>168</v>
      </c>
      <c r="E5" s="1"/>
      <c r="F5" s="1">
        <v>189273</v>
      </c>
      <c r="G5" s="1">
        <v>54</v>
      </c>
      <c r="H5" s="2">
        <v>0</v>
      </c>
      <c r="I5" s="1">
        <v>49</v>
      </c>
      <c r="J5" s="2">
        <v>5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</row>
    <row r="6" spans="1:66" ht="28.8" x14ac:dyDescent="0.3">
      <c r="A6" s="1">
        <v>110</v>
      </c>
      <c r="B6" s="1">
        <v>999700227</v>
      </c>
      <c r="C6" s="1" t="s">
        <v>141</v>
      </c>
      <c r="D6" s="1" t="s">
        <v>160</v>
      </c>
      <c r="E6" s="1"/>
      <c r="F6" s="1"/>
      <c r="G6" s="1">
        <v>0</v>
      </c>
      <c r="H6" s="2">
        <v>0</v>
      </c>
      <c r="I6" s="1">
        <v>0</v>
      </c>
      <c r="J6" s="2">
        <v>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</row>
    <row r="7" spans="1:66" ht="28.8" x14ac:dyDescent="0.3">
      <c r="A7" s="1">
        <v>110</v>
      </c>
      <c r="B7" s="1">
        <v>999700248</v>
      </c>
      <c r="C7" s="1" t="s">
        <v>171</v>
      </c>
      <c r="D7" s="1" t="s">
        <v>166</v>
      </c>
      <c r="E7" s="1"/>
      <c r="F7" s="1"/>
      <c r="G7" s="1">
        <v>0</v>
      </c>
      <c r="H7" s="2">
        <v>54</v>
      </c>
      <c r="I7" s="1">
        <v>0</v>
      </c>
      <c r="J7" s="2">
        <v>0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</row>
    <row r="8" spans="1:66" ht="28.8" x14ac:dyDescent="0.3">
      <c r="A8" s="1">
        <v>110</v>
      </c>
      <c r="B8" s="1">
        <v>999700249</v>
      </c>
      <c r="C8" s="1" t="s">
        <v>172</v>
      </c>
      <c r="D8" s="1" t="s">
        <v>168</v>
      </c>
      <c r="E8" s="1"/>
      <c r="F8" s="1">
        <v>191949</v>
      </c>
      <c r="G8" s="1">
        <v>54</v>
      </c>
      <c r="H8" s="2">
        <v>39</v>
      </c>
      <c r="I8" s="1">
        <v>39</v>
      </c>
      <c r="J8" s="2">
        <v>15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</row>
    <row r="9" spans="1:66" ht="43.2" x14ac:dyDescent="0.3">
      <c r="A9" s="1">
        <v>145</v>
      </c>
      <c r="B9" s="1">
        <v>999700150</v>
      </c>
      <c r="C9" s="1" t="s">
        <v>95</v>
      </c>
      <c r="D9" s="1" t="s">
        <v>160</v>
      </c>
      <c r="E9" s="1"/>
      <c r="F9" s="1"/>
      <c r="G9" s="1">
        <v>0</v>
      </c>
      <c r="H9" s="2">
        <v>54</v>
      </c>
      <c r="I9" s="1">
        <v>0</v>
      </c>
      <c r="J9" s="2">
        <v>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</row>
    <row r="10" spans="1:66" ht="28.8" x14ac:dyDescent="0.3">
      <c r="A10" s="1">
        <v>145</v>
      </c>
      <c r="B10" s="1">
        <v>999700151</v>
      </c>
      <c r="C10" s="1" t="s">
        <v>173</v>
      </c>
      <c r="D10" s="1" t="s">
        <v>168</v>
      </c>
      <c r="E10" s="1"/>
      <c r="F10" s="1">
        <v>188585</v>
      </c>
      <c r="G10" s="1">
        <v>54</v>
      </c>
      <c r="H10" s="2">
        <v>46</v>
      </c>
      <c r="I10" s="1">
        <v>46</v>
      </c>
      <c r="J10" s="2">
        <v>8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</row>
    <row r="11" spans="1:66" ht="43.2" x14ac:dyDescent="0.3">
      <c r="A11" s="1">
        <v>145</v>
      </c>
      <c r="B11" s="1">
        <v>999700152</v>
      </c>
      <c r="C11" s="1" t="s">
        <v>174</v>
      </c>
      <c r="D11" s="1" t="s">
        <v>175</v>
      </c>
      <c r="E11" s="1"/>
      <c r="F11" s="1"/>
      <c r="G11" s="1">
        <v>0</v>
      </c>
      <c r="H11" s="2">
        <v>54</v>
      </c>
      <c r="I11" s="1">
        <v>0</v>
      </c>
      <c r="J11" s="2">
        <v>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</row>
    <row r="12" spans="1:66" ht="28.8" x14ac:dyDescent="0.3">
      <c r="A12" s="1">
        <v>145</v>
      </c>
      <c r="B12" s="1">
        <v>999700153</v>
      </c>
      <c r="C12" s="1" t="s">
        <v>176</v>
      </c>
      <c r="D12" s="1" t="s">
        <v>168</v>
      </c>
      <c r="E12" s="1"/>
      <c r="F12" s="1">
        <v>186897</v>
      </c>
      <c r="G12" s="1">
        <v>54</v>
      </c>
      <c r="H12" s="2">
        <v>53</v>
      </c>
      <c r="I12" s="1">
        <v>53</v>
      </c>
      <c r="J12" s="2">
        <v>1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</row>
    <row r="13" spans="1:66" ht="43.2" x14ac:dyDescent="0.3">
      <c r="A13" s="1">
        <v>145</v>
      </c>
      <c r="B13" s="1">
        <v>999700154</v>
      </c>
      <c r="C13" s="1" t="s">
        <v>177</v>
      </c>
      <c r="D13" s="1" t="s">
        <v>166</v>
      </c>
      <c r="E13" s="1"/>
      <c r="F13" s="1"/>
      <c r="G13" s="1">
        <v>0</v>
      </c>
      <c r="H13" s="2">
        <v>53</v>
      </c>
      <c r="I13" s="1">
        <v>0</v>
      </c>
      <c r="J13" s="2">
        <v>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</row>
    <row r="14" spans="1:66" ht="28.8" x14ac:dyDescent="0.3">
      <c r="A14" s="1">
        <v>145</v>
      </c>
      <c r="B14" s="1">
        <v>999700220</v>
      </c>
      <c r="C14" s="1" t="s">
        <v>178</v>
      </c>
      <c r="D14" s="1" t="s">
        <v>168</v>
      </c>
      <c r="E14" s="1"/>
      <c r="F14" s="1">
        <v>190159</v>
      </c>
      <c r="G14" s="1">
        <v>54</v>
      </c>
      <c r="H14" s="2">
        <v>25</v>
      </c>
      <c r="I14" s="1">
        <v>25</v>
      </c>
      <c r="J14" s="2">
        <v>29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</row>
    <row r="15" spans="1:66" ht="28.8" x14ac:dyDescent="0.3">
      <c r="A15" s="1">
        <v>145</v>
      </c>
      <c r="B15" s="1">
        <v>999700221</v>
      </c>
      <c r="C15" s="1" t="s">
        <v>179</v>
      </c>
      <c r="D15" s="1" t="s">
        <v>166</v>
      </c>
      <c r="E15" s="1"/>
      <c r="F15" s="1"/>
      <c r="G15" s="1">
        <v>0</v>
      </c>
      <c r="H15" s="2">
        <v>53</v>
      </c>
      <c r="I15" s="1">
        <v>0</v>
      </c>
      <c r="J15" s="2">
        <v>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</row>
    <row r="16" spans="1:66" ht="28.8" x14ac:dyDescent="0.3">
      <c r="A16" s="1">
        <v>145</v>
      </c>
      <c r="B16" s="1">
        <v>999700222</v>
      </c>
      <c r="C16" s="1" t="s">
        <v>180</v>
      </c>
      <c r="D16" s="1" t="s">
        <v>168</v>
      </c>
      <c r="E16" s="1"/>
      <c r="F16" s="1">
        <v>189885</v>
      </c>
      <c r="G16" s="1">
        <v>54</v>
      </c>
      <c r="H16" s="2">
        <v>40</v>
      </c>
      <c r="I16" s="1">
        <v>40</v>
      </c>
      <c r="J16" s="2">
        <v>14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</row>
    <row r="17" spans="1:66" ht="28.8" x14ac:dyDescent="0.3">
      <c r="A17" s="1">
        <v>145</v>
      </c>
      <c r="B17" s="1">
        <v>999700223</v>
      </c>
      <c r="C17" s="1" t="s">
        <v>169</v>
      </c>
      <c r="D17" s="1" t="s">
        <v>168</v>
      </c>
      <c r="E17" s="1"/>
      <c r="F17" s="1">
        <v>188840</v>
      </c>
      <c r="G17" s="1">
        <v>54</v>
      </c>
      <c r="H17" s="2">
        <v>53</v>
      </c>
      <c r="I17" s="1">
        <v>53</v>
      </c>
      <c r="J17" s="2">
        <v>1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</row>
    <row r="18" spans="1:66" ht="28.8" x14ac:dyDescent="0.3">
      <c r="A18" s="1">
        <v>145</v>
      </c>
      <c r="B18" s="1">
        <v>999700224</v>
      </c>
      <c r="C18" s="1" t="s">
        <v>181</v>
      </c>
      <c r="D18" s="1" t="s">
        <v>168</v>
      </c>
      <c r="E18" s="1"/>
      <c r="F18" s="1">
        <v>189212</v>
      </c>
      <c r="G18" s="1">
        <v>54</v>
      </c>
      <c r="H18" s="2">
        <v>50</v>
      </c>
      <c r="I18" s="1">
        <v>50</v>
      </c>
      <c r="J18" s="2">
        <v>4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</row>
    <row r="19" spans="1:66" ht="28.8" x14ac:dyDescent="0.3">
      <c r="A19" s="1">
        <v>145</v>
      </c>
      <c r="B19" s="1">
        <v>999700225</v>
      </c>
      <c r="C19" s="1" t="s">
        <v>170</v>
      </c>
      <c r="D19" s="1" t="s">
        <v>168</v>
      </c>
      <c r="E19" s="1"/>
      <c r="F19" s="1">
        <v>189273</v>
      </c>
      <c r="G19" s="1">
        <v>54</v>
      </c>
      <c r="H19" s="2">
        <v>49</v>
      </c>
      <c r="I19" s="1">
        <v>49</v>
      </c>
      <c r="J19" s="2">
        <v>5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</row>
    <row r="20" spans="1:66" ht="28.8" x14ac:dyDescent="0.3">
      <c r="A20" s="1">
        <v>145</v>
      </c>
      <c r="B20" s="1">
        <v>999700226</v>
      </c>
      <c r="C20" s="1" t="s">
        <v>182</v>
      </c>
      <c r="D20" s="1" t="s">
        <v>166</v>
      </c>
      <c r="E20" s="1"/>
      <c r="F20" s="1"/>
      <c r="G20" s="1">
        <v>0</v>
      </c>
      <c r="H20" s="2">
        <v>54</v>
      </c>
      <c r="I20" s="1">
        <v>0</v>
      </c>
      <c r="J20" s="2">
        <v>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</row>
    <row r="21" spans="1:66" ht="28.8" x14ac:dyDescent="0.3">
      <c r="A21" s="1">
        <v>145</v>
      </c>
      <c r="B21" s="1">
        <v>999700227</v>
      </c>
      <c r="C21" s="1" t="s">
        <v>141</v>
      </c>
      <c r="D21" s="1" t="s">
        <v>160</v>
      </c>
      <c r="E21" s="1"/>
      <c r="F21" s="1"/>
      <c r="G21" s="1">
        <v>0</v>
      </c>
      <c r="H21" s="2">
        <v>54</v>
      </c>
      <c r="I21" s="1">
        <v>0</v>
      </c>
      <c r="J21" s="2">
        <v>0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</row>
    <row r="22" spans="1:66" ht="28.8" x14ac:dyDescent="0.3">
      <c r="A22" s="1">
        <v>145</v>
      </c>
      <c r="B22" s="1">
        <v>999700228</v>
      </c>
      <c r="C22" s="1" t="s">
        <v>183</v>
      </c>
      <c r="D22" s="1" t="s">
        <v>166</v>
      </c>
      <c r="E22" s="1"/>
      <c r="F22" s="1"/>
      <c r="G22" s="1">
        <v>0</v>
      </c>
      <c r="H22" s="2">
        <v>54</v>
      </c>
      <c r="I22" s="1">
        <v>0</v>
      </c>
      <c r="J22" s="2">
        <v>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</row>
    <row r="23" spans="1:66" ht="28.8" x14ac:dyDescent="0.3">
      <c r="A23" s="1">
        <v>145</v>
      </c>
      <c r="B23" s="1">
        <v>999700229</v>
      </c>
      <c r="C23" s="1" t="s">
        <v>184</v>
      </c>
      <c r="D23" s="1" t="s">
        <v>168</v>
      </c>
      <c r="E23" s="1"/>
      <c r="F23" s="1">
        <v>188600</v>
      </c>
      <c r="G23" s="1">
        <v>54</v>
      </c>
      <c r="H23" s="2">
        <v>53</v>
      </c>
      <c r="I23" s="1">
        <v>53</v>
      </c>
      <c r="J23" s="2">
        <v>1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</row>
    <row r="24" spans="1:66" ht="28.8" x14ac:dyDescent="0.3">
      <c r="A24" s="1">
        <v>145</v>
      </c>
      <c r="B24" s="1">
        <v>999700230</v>
      </c>
      <c r="C24" s="1" t="s">
        <v>185</v>
      </c>
      <c r="D24" s="1" t="s">
        <v>166</v>
      </c>
      <c r="E24" s="1"/>
      <c r="F24" s="1"/>
      <c r="G24" s="1">
        <v>0</v>
      </c>
      <c r="H24" s="2">
        <v>54</v>
      </c>
      <c r="I24" s="1">
        <v>0</v>
      </c>
      <c r="J24" s="2">
        <v>0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</row>
    <row r="25" spans="1:66" ht="28.8" x14ac:dyDescent="0.3">
      <c r="A25" s="1">
        <v>145</v>
      </c>
      <c r="B25" s="1">
        <v>999700231</v>
      </c>
      <c r="C25" s="1" t="s">
        <v>186</v>
      </c>
      <c r="D25" s="1" t="s">
        <v>187</v>
      </c>
      <c r="E25" s="1"/>
      <c r="F25" s="1"/>
      <c r="G25" s="1">
        <v>0</v>
      </c>
      <c r="H25" s="2">
        <v>54</v>
      </c>
      <c r="I25" s="1">
        <v>0</v>
      </c>
      <c r="J25" s="2">
        <v>0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</row>
    <row r="26" spans="1:66" ht="28.8" x14ac:dyDescent="0.3">
      <c r="A26" s="1">
        <v>145</v>
      </c>
      <c r="B26" s="1">
        <v>999700232</v>
      </c>
      <c r="C26" s="1" t="s">
        <v>188</v>
      </c>
      <c r="D26" s="1" t="s">
        <v>166</v>
      </c>
      <c r="E26" s="1"/>
      <c r="F26" s="1"/>
      <c r="G26" s="1">
        <v>0</v>
      </c>
      <c r="H26" s="2">
        <v>54</v>
      </c>
      <c r="I26" s="1">
        <v>0</v>
      </c>
      <c r="J26" s="2">
        <v>0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</row>
    <row r="27" spans="1:66" ht="28.8" x14ac:dyDescent="0.3">
      <c r="A27" s="1">
        <v>145</v>
      </c>
      <c r="B27" s="1">
        <v>999700233</v>
      </c>
      <c r="C27" s="1" t="s">
        <v>189</v>
      </c>
      <c r="D27" s="1" t="s">
        <v>168</v>
      </c>
      <c r="E27" s="1"/>
      <c r="F27" s="1">
        <v>186625</v>
      </c>
      <c r="G27" s="1">
        <v>54</v>
      </c>
      <c r="H27" s="2">
        <v>45</v>
      </c>
      <c r="I27" s="1">
        <v>45</v>
      </c>
      <c r="J27" s="2">
        <v>9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</row>
    <row r="28" spans="1:66" ht="28.8" x14ac:dyDescent="0.3">
      <c r="A28" s="1">
        <v>145</v>
      </c>
      <c r="B28" s="1">
        <v>999700234</v>
      </c>
      <c r="C28" s="1" t="s">
        <v>190</v>
      </c>
      <c r="D28" s="1" t="s">
        <v>166</v>
      </c>
      <c r="E28" s="1"/>
      <c r="F28" s="1"/>
      <c r="G28" s="1">
        <v>0</v>
      </c>
      <c r="H28" s="2">
        <v>54</v>
      </c>
      <c r="I28" s="1">
        <v>0</v>
      </c>
      <c r="J28" s="2">
        <v>0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</row>
    <row r="29" spans="1:66" ht="28.8" x14ac:dyDescent="0.3">
      <c r="A29" s="1">
        <v>145</v>
      </c>
      <c r="B29" s="1">
        <v>999700236</v>
      </c>
      <c r="C29" s="1" t="s">
        <v>191</v>
      </c>
      <c r="D29" s="1" t="s">
        <v>83</v>
      </c>
      <c r="E29" s="1"/>
      <c r="F29" s="1"/>
      <c r="G29" s="1">
        <v>0</v>
      </c>
      <c r="H29" s="2">
        <v>54</v>
      </c>
      <c r="I29" s="1">
        <v>0</v>
      </c>
      <c r="J29" s="2">
        <v>0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</row>
    <row r="30" spans="1:66" ht="28.8" x14ac:dyDescent="0.3">
      <c r="A30" s="1">
        <v>145</v>
      </c>
      <c r="B30" s="1">
        <v>999700237</v>
      </c>
      <c r="C30" s="1" t="s">
        <v>192</v>
      </c>
      <c r="D30" s="1" t="s">
        <v>166</v>
      </c>
      <c r="E30" s="1"/>
      <c r="F30" s="1"/>
      <c r="G30" s="1">
        <v>0</v>
      </c>
      <c r="H30" s="2">
        <v>54</v>
      </c>
      <c r="I30" s="1">
        <v>0</v>
      </c>
      <c r="J30" s="2">
        <v>0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</row>
    <row r="31" spans="1:66" ht="28.8" x14ac:dyDescent="0.3">
      <c r="A31" s="1">
        <v>145</v>
      </c>
      <c r="B31" s="1">
        <v>999700239</v>
      </c>
      <c r="C31" s="1" t="s">
        <v>193</v>
      </c>
      <c r="D31" s="1" t="s">
        <v>168</v>
      </c>
      <c r="E31" s="1"/>
      <c r="F31" s="1">
        <v>191102</v>
      </c>
      <c r="G31" s="1">
        <v>54</v>
      </c>
      <c r="H31" s="2">
        <v>40</v>
      </c>
      <c r="I31" s="1">
        <v>40</v>
      </c>
      <c r="J31" s="2">
        <v>14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</row>
    <row r="32" spans="1:66" ht="28.8" x14ac:dyDescent="0.3">
      <c r="A32" s="1">
        <v>145</v>
      </c>
      <c r="B32" s="1">
        <v>999700240</v>
      </c>
      <c r="C32" s="1" t="s">
        <v>194</v>
      </c>
      <c r="D32" s="1" t="s">
        <v>195</v>
      </c>
      <c r="E32" s="1"/>
      <c r="F32" s="1"/>
      <c r="G32" s="1">
        <v>0</v>
      </c>
      <c r="H32" s="2">
        <v>54</v>
      </c>
      <c r="I32" s="1">
        <v>0</v>
      </c>
      <c r="J32" s="2">
        <v>0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</row>
    <row r="33" spans="1:66" ht="28.8" x14ac:dyDescent="0.3">
      <c r="A33" s="1">
        <v>145</v>
      </c>
      <c r="B33" s="1">
        <v>999700241</v>
      </c>
      <c r="C33" s="1" t="s">
        <v>196</v>
      </c>
      <c r="D33" s="1" t="s">
        <v>168</v>
      </c>
      <c r="E33" s="1"/>
      <c r="F33" s="1">
        <v>189780</v>
      </c>
      <c r="G33" s="1">
        <v>54</v>
      </c>
      <c r="H33" s="2">
        <v>25</v>
      </c>
      <c r="I33" s="1">
        <v>25</v>
      </c>
      <c r="J33" s="2">
        <v>29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</row>
    <row r="34" spans="1:66" ht="28.8" x14ac:dyDescent="0.3">
      <c r="A34" s="1">
        <v>145</v>
      </c>
      <c r="B34" s="1">
        <v>999700242</v>
      </c>
      <c r="C34" s="1" t="s">
        <v>197</v>
      </c>
      <c r="D34" s="1" t="s">
        <v>168</v>
      </c>
      <c r="E34" s="1"/>
      <c r="F34" s="1">
        <v>189670</v>
      </c>
      <c r="G34" s="1">
        <v>54</v>
      </c>
      <c r="H34" s="2">
        <v>15</v>
      </c>
      <c r="I34" s="1">
        <v>15</v>
      </c>
      <c r="J34" s="2">
        <v>39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</row>
    <row r="35" spans="1:66" ht="28.8" x14ac:dyDescent="0.3">
      <c r="A35" s="1">
        <v>145</v>
      </c>
      <c r="B35" s="1">
        <v>999700243</v>
      </c>
      <c r="C35" s="1" t="s">
        <v>198</v>
      </c>
      <c r="D35" s="1" t="s">
        <v>166</v>
      </c>
      <c r="E35" s="1" t="s">
        <v>199</v>
      </c>
      <c r="F35" s="1"/>
      <c r="G35" s="1">
        <v>0</v>
      </c>
      <c r="H35" s="2">
        <v>54</v>
      </c>
      <c r="I35" s="1">
        <v>0</v>
      </c>
      <c r="J35" s="2">
        <v>0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</row>
    <row r="36" spans="1:66" ht="28.8" x14ac:dyDescent="0.3">
      <c r="A36" s="1">
        <v>145</v>
      </c>
      <c r="B36" s="1">
        <v>999700244</v>
      </c>
      <c r="C36" s="1" t="s">
        <v>200</v>
      </c>
      <c r="D36" s="1" t="s">
        <v>166</v>
      </c>
      <c r="E36" s="1"/>
      <c r="F36" s="1"/>
      <c r="G36" s="1">
        <v>0</v>
      </c>
      <c r="H36" s="2">
        <v>54</v>
      </c>
      <c r="I36" s="1">
        <v>0</v>
      </c>
      <c r="J36" s="2">
        <v>0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</row>
    <row r="37" spans="1:66" ht="28.8" x14ac:dyDescent="0.3">
      <c r="A37" s="1">
        <v>145</v>
      </c>
      <c r="B37" s="1">
        <v>999700245</v>
      </c>
      <c r="C37" s="1" t="s">
        <v>201</v>
      </c>
      <c r="D37" s="1" t="s">
        <v>166</v>
      </c>
      <c r="E37" s="1"/>
      <c r="F37" s="1"/>
      <c r="G37" s="1">
        <v>0</v>
      </c>
      <c r="H37" s="2">
        <v>54</v>
      </c>
      <c r="I37" s="1">
        <v>0</v>
      </c>
      <c r="J37" s="2">
        <v>0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</row>
    <row r="38" spans="1:66" ht="28.8" x14ac:dyDescent="0.3">
      <c r="A38" s="1">
        <v>145</v>
      </c>
      <c r="B38" s="1">
        <v>999700246</v>
      </c>
      <c r="C38" s="1" t="s">
        <v>202</v>
      </c>
      <c r="D38" s="1" t="s">
        <v>166</v>
      </c>
      <c r="E38" s="1"/>
      <c r="F38" s="1"/>
      <c r="G38" s="1">
        <v>0</v>
      </c>
      <c r="H38" s="2">
        <v>54</v>
      </c>
      <c r="I38" s="1">
        <v>0</v>
      </c>
      <c r="J38" s="2">
        <v>0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</row>
    <row r="39" spans="1:66" ht="28.8" x14ac:dyDescent="0.3">
      <c r="A39" s="1">
        <v>145</v>
      </c>
      <c r="B39" s="1">
        <v>999700247</v>
      </c>
      <c r="C39" s="1" t="s">
        <v>203</v>
      </c>
      <c r="D39" s="1" t="s">
        <v>204</v>
      </c>
      <c r="E39" s="1"/>
      <c r="F39" s="1"/>
      <c r="G39" s="1">
        <v>0</v>
      </c>
      <c r="H39" s="2">
        <v>54</v>
      </c>
      <c r="I39" s="1">
        <v>0</v>
      </c>
      <c r="J39" s="2">
        <v>0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</row>
    <row r="40" spans="1:66" ht="28.8" x14ac:dyDescent="0.3">
      <c r="A40" s="1">
        <v>145</v>
      </c>
      <c r="B40" s="1">
        <v>999700249</v>
      </c>
      <c r="C40" s="1" t="s">
        <v>172</v>
      </c>
      <c r="D40" s="1" t="s">
        <v>168</v>
      </c>
      <c r="E40" s="1"/>
      <c r="F40" s="1">
        <v>191949</v>
      </c>
      <c r="G40" s="1">
        <v>54</v>
      </c>
      <c r="H40" s="2">
        <v>0</v>
      </c>
      <c r="I40" s="1">
        <v>39</v>
      </c>
      <c r="J40" s="2">
        <v>15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</row>
    <row r="41" spans="1:66" ht="28.8" x14ac:dyDescent="0.3">
      <c r="A41" s="1">
        <v>145</v>
      </c>
      <c r="B41" s="1">
        <v>999700252</v>
      </c>
      <c r="C41" s="1" t="s">
        <v>205</v>
      </c>
      <c r="D41" s="1" t="s">
        <v>168</v>
      </c>
      <c r="E41" s="1"/>
      <c r="F41" s="1">
        <v>188787</v>
      </c>
      <c r="G41" s="1">
        <v>54</v>
      </c>
      <c r="H41" s="2">
        <v>25</v>
      </c>
      <c r="I41" s="1">
        <v>25</v>
      </c>
      <c r="J41" s="2">
        <v>29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B828E-E3E8-4A6E-A81E-6903ADADE47C}">
  <dimension ref="A1:BV53"/>
  <sheetViews>
    <sheetView tabSelected="1" zoomScale="75" zoomScaleNormal="75" workbookViewId="0">
      <selection activeCell="F16" sqref="F16"/>
    </sheetView>
  </sheetViews>
  <sheetFormatPr defaultRowHeight="14.4" x14ac:dyDescent="0.3"/>
  <cols>
    <col min="2" max="2" width="18" bestFit="1" customWidth="1"/>
    <col min="3" max="3" width="44.6640625" style="78" bestFit="1" customWidth="1"/>
    <col min="4" max="4" width="12.21875" style="79" bestFit="1" customWidth="1"/>
    <col min="5" max="5" width="8.21875" bestFit="1" customWidth="1"/>
    <col min="6" max="6" width="37.44140625" customWidth="1"/>
    <col min="7" max="7" width="12.44140625" bestFit="1" customWidth="1"/>
    <col min="8" max="8" width="14.77734375" bestFit="1" customWidth="1"/>
    <col min="9" max="9" width="12.44140625" style="80" customWidth="1"/>
    <col min="10" max="10" width="12.77734375" bestFit="1" customWidth="1"/>
    <col min="11" max="11" width="8.77734375" style="82"/>
    <col min="15" max="16" width="8.77734375" style="82"/>
    <col min="17" max="17" width="8.77734375" style="67"/>
    <col min="43" max="50" width="9.77734375" customWidth="1"/>
  </cols>
  <sheetData>
    <row r="1" spans="1:74" ht="28.95" customHeight="1" x14ac:dyDescent="0.3">
      <c r="A1" s="7" t="s">
        <v>206</v>
      </c>
      <c r="B1" s="8" t="s">
        <v>207</v>
      </c>
      <c r="C1" s="8" t="s">
        <v>208</v>
      </c>
      <c r="D1" s="9" t="s">
        <v>209</v>
      </c>
      <c r="E1" s="8" t="s">
        <v>210</v>
      </c>
      <c r="F1" s="8" t="s">
        <v>211</v>
      </c>
      <c r="G1" s="8" t="s">
        <v>212</v>
      </c>
      <c r="H1" s="8" t="s">
        <v>213</v>
      </c>
      <c r="I1" s="8" t="s">
        <v>214</v>
      </c>
      <c r="J1" s="8" t="s">
        <v>215</v>
      </c>
      <c r="K1" s="8" t="s">
        <v>216</v>
      </c>
      <c r="L1" s="8" t="s">
        <v>217</v>
      </c>
      <c r="M1" s="8" t="s">
        <v>218</v>
      </c>
      <c r="N1" s="8" t="s">
        <v>219</v>
      </c>
      <c r="O1" s="8" t="s">
        <v>220</v>
      </c>
      <c r="P1" s="8" t="s">
        <v>221</v>
      </c>
      <c r="Q1" s="10" t="s">
        <v>222</v>
      </c>
    </row>
    <row r="2" spans="1:74" x14ac:dyDescent="0.3">
      <c r="A2" s="11">
        <v>400</v>
      </c>
      <c r="B2" s="12">
        <v>936700062</v>
      </c>
      <c r="C2" s="13" t="s">
        <v>223</v>
      </c>
      <c r="D2" s="12" t="s">
        <v>224</v>
      </c>
      <c r="E2" s="14" t="s">
        <v>225</v>
      </c>
      <c r="F2" s="12" t="s">
        <v>226</v>
      </c>
      <c r="G2" s="15"/>
      <c r="H2" s="15"/>
      <c r="I2" s="16"/>
      <c r="J2" s="17"/>
      <c r="K2" s="11"/>
      <c r="L2" s="18">
        <v>23</v>
      </c>
      <c r="M2" s="18">
        <v>12</v>
      </c>
      <c r="N2" s="18">
        <v>0</v>
      </c>
      <c r="O2" s="19"/>
      <c r="P2" s="19"/>
      <c r="Q2" s="20">
        <f t="shared" ref="Q2:Q45" si="0">K2-P2</f>
        <v>0</v>
      </c>
    </row>
    <row r="3" spans="1:74" s="21" customFormat="1" x14ac:dyDescent="0.3">
      <c r="A3" s="11">
        <v>400</v>
      </c>
      <c r="B3" s="12">
        <v>936700063</v>
      </c>
      <c r="C3" s="13" t="s">
        <v>227</v>
      </c>
      <c r="D3" s="12" t="s">
        <v>224</v>
      </c>
      <c r="E3" s="14" t="s">
        <v>225</v>
      </c>
      <c r="F3" s="12" t="s">
        <v>226</v>
      </c>
      <c r="G3" s="15"/>
      <c r="H3" s="15"/>
      <c r="I3" s="16"/>
      <c r="J3" s="17"/>
      <c r="K3" s="11"/>
      <c r="L3" s="18">
        <v>37</v>
      </c>
      <c r="M3" s="18">
        <v>8</v>
      </c>
      <c r="N3" s="18">
        <v>0</v>
      </c>
      <c r="O3" s="19"/>
      <c r="P3" s="19"/>
      <c r="Q3" s="20">
        <f t="shared" si="0"/>
        <v>0</v>
      </c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</row>
    <row r="4" spans="1:74" x14ac:dyDescent="0.3">
      <c r="A4" s="11">
        <v>145</v>
      </c>
      <c r="B4" s="12">
        <v>986720201</v>
      </c>
      <c r="C4" s="13" t="s">
        <v>228</v>
      </c>
      <c r="D4" s="12" t="s">
        <v>224</v>
      </c>
      <c r="E4" s="14" t="s">
        <v>225</v>
      </c>
      <c r="F4" s="12" t="s">
        <v>226</v>
      </c>
      <c r="G4" s="12"/>
      <c r="H4" s="12"/>
      <c r="I4" s="16"/>
      <c r="J4" s="17"/>
      <c r="K4" s="11"/>
      <c r="L4" s="18">
        <v>0</v>
      </c>
      <c r="M4" s="18">
        <v>112</v>
      </c>
      <c r="N4" s="18">
        <v>0</v>
      </c>
      <c r="O4" s="22"/>
      <c r="P4" s="22"/>
      <c r="Q4" s="20">
        <f t="shared" si="0"/>
        <v>0</v>
      </c>
    </row>
    <row r="5" spans="1:74" x14ac:dyDescent="0.3">
      <c r="A5" s="11">
        <v>110</v>
      </c>
      <c r="B5" s="12" t="s">
        <v>142</v>
      </c>
      <c r="C5" s="23" t="s">
        <v>143</v>
      </c>
      <c r="D5" s="12" t="s">
        <v>224</v>
      </c>
      <c r="E5" s="14" t="s">
        <v>225</v>
      </c>
      <c r="F5" s="14" t="s">
        <v>229</v>
      </c>
      <c r="G5" s="14"/>
      <c r="H5" s="14"/>
      <c r="I5" s="16">
        <v>71686</v>
      </c>
      <c r="J5" s="24">
        <v>196617</v>
      </c>
      <c r="K5" s="15">
        <v>110</v>
      </c>
      <c r="L5" s="18">
        <v>0</v>
      </c>
      <c r="M5" s="18">
        <v>0</v>
      </c>
      <c r="N5" s="18">
        <v>0</v>
      </c>
      <c r="O5" s="25"/>
      <c r="P5" s="25"/>
      <c r="Q5" s="20">
        <f t="shared" si="0"/>
        <v>110</v>
      </c>
    </row>
    <row r="6" spans="1:74" s="21" customFormat="1" x14ac:dyDescent="0.3">
      <c r="A6" s="11">
        <v>110</v>
      </c>
      <c r="B6" s="12">
        <v>999550477</v>
      </c>
      <c r="C6" s="26" t="s">
        <v>230</v>
      </c>
      <c r="D6" s="12" t="s">
        <v>231</v>
      </c>
      <c r="E6" s="14" t="s">
        <v>225</v>
      </c>
      <c r="F6" s="14"/>
      <c r="G6" s="14"/>
      <c r="H6" s="14"/>
      <c r="I6" s="16"/>
      <c r="J6" s="24"/>
      <c r="K6" s="15"/>
      <c r="L6" s="18">
        <v>0</v>
      </c>
      <c r="M6" s="18">
        <v>0</v>
      </c>
      <c r="N6" s="18">
        <v>220</v>
      </c>
      <c r="O6" s="25"/>
      <c r="P6" s="25"/>
      <c r="Q6" s="20">
        <f t="shared" si="0"/>
        <v>0</v>
      </c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</row>
    <row r="7" spans="1:74" ht="15.6" x14ac:dyDescent="0.3">
      <c r="A7" s="11">
        <v>110</v>
      </c>
      <c r="B7" s="12">
        <v>992550016</v>
      </c>
      <c r="C7" s="27" t="s">
        <v>232</v>
      </c>
      <c r="D7" s="12" t="s">
        <v>231</v>
      </c>
      <c r="E7" s="14" t="s">
        <v>225</v>
      </c>
      <c r="F7" s="14"/>
      <c r="G7" s="14"/>
      <c r="H7" s="14"/>
      <c r="I7" s="16"/>
      <c r="J7" s="24"/>
      <c r="K7" s="15"/>
      <c r="L7" s="18">
        <v>0</v>
      </c>
      <c r="M7" s="18">
        <v>0</v>
      </c>
      <c r="N7" s="18">
        <v>280</v>
      </c>
      <c r="O7" s="25"/>
      <c r="P7" s="22"/>
      <c r="Q7" s="20">
        <f t="shared" si="0"/>
        <v>0</v>
      </c>
    </row>
    <row r="8" spans="1:74" x14ac:dyDescent="0.3">
      <c r="A8" s="11">
        <v>110</v>
      </c>
      <c r="B8" s="12">
        <v>993550002</v>
      </c>
      <c r="C8" s="28" t="s">
        <v>233</v>
      </c>
      <c r="D8" s="12" t="s">
        <v>231</v>
      </c>
      <c r="E8" s="14" t="s">
        <v>225</v>
      </c>
      <c r="F8" s="14"/>
      <c r="G8" s="14"/>
      <c r="H8" s="14"/>
      <c r="I8" s="16"/>
      <c r="J8" s="29"/>
      <c r="K8" s="11"/>
      <c r="L8" s="18">
        <v>14</v>
      </c>
      <c r="M8" s="18">
        <v>0</v>
      </c>
      <c r="N8" s="18">
        <v>10</v>
      </c>
      <c r="O8" s="25"/>
      <c r="P8" s="22"/>
      <c r="Q8" s="20">
        <f t="shared" si="0"/>
        <v>0</v>
      </c>
    </row>
    <row r="9" spans="1:74" x14ac:dyDescent="0.3">
      <c r="A9" s="11">
        <v>145</v>
      </c>
      <c r="B9" s="12">
        <v>842720381</v>
      </c>
      <c r="C9" s="30" t="s">
        <v>234</v>
      </c>
      <c r="D9" s="12" t="s">
        <v>235</v>
      </c>
      <c r="E9" s="14" t="s">
        <v>225</v>
      </c>
      <c r="F9" s="31" t="s">
        <v>236</v>
      </c>
      <c r="G9" s="31"/>
      <c r="H9" s="31"/>
      <c r="I9" s="32"/>
      <c r="J9" s="29"/>
      <c r="K9" s="11"/>
      <c r="L9" s="18">
        <v>25</v>
      </c>
      <c r="M9" s="18">
        <v>16</v>
      </c>
      <c r="N9" s="18">
        <v>0</v>
      </c>
      <c r="O9" s="25"/>
      <c r="P9" s="22"/>
      <c r="Q9" s="20">
        <f t="shared" si="0"/>
        <v>0</v>
      </c>
    </row>
    <row r="10" spans="1:74" ht="27.6" x14ac:dyDescent="0.3">
      <c r="A10" s="11">
        <v>145</v>
      </c>
      <c r="B10" s="12">
        <v>972722348</v>
      </c>
      <c r="C10" s="30" t="s">
        <v>237</v>
      </c>
      <c r="D10" s="12" t="s">
        <v>238</v>
      </c>
      <c r="E10" s="14" t="s">
        <v>225</v>
      </c>
      <c r="F10" s="33" t="s">
        <v>239</v>
      </c>
      <c r="G10" s="34"/>
      <c r="H10" s="34"/>
      <c r="I10" s="35"/>
      <c r="J10" s="29"/>
      <c r="K10" s="11"/>
      <c r="L10" s="18">
        <v>0</v>
      </c>
      <c r="M10" s="18">
        <v>276</v>
      </c>
      <c r="N10" s="18">
        <v>0</v>
      </c>
      <c r="O10" s="25"/>
      <c r="P10" s="22"/>
      <c r="Q10" s="20">
        <f t="shared" si="0"/>
        <v>0</v>
      </c>
    </row>
    <row r="11" spans="1:74" ht="27.6" x14ac:dyDescent="0.3">
      <c r="A11" s="11">
        <v>145</v>
      </c>
      <c r="B11" s="12">
        <v>824550442</v>
      </c>
      <c r="C11" s="30" t="s">
        <v>240</v>
      </c>
      <c r="D11" s="12" t="s">
        <v>224</v>
      </c>
      <c r="E11" s="14" t="s">
        <v>225</v>
      </c>
      <c r="F11" s="36" t="s">
        <v>241</v>
      </c>
      <c r="G11" s="37"/>
      <c r="H11" s="37"/>
      <c r="I11" s="16"/>
      <c r="J11" s="29">
        <v>197126</v>
      </c>
      <c r="K11" s="11">
        <v>108</v>
      </c>
      <c r="L11" s="18">
        <v>0</v>
      </c>
      <c r="M11" s="18">
        <v>226</v>
      </c>
      <c r="N11" s="18">
        <v>0</v>
      </c>
      <c r="O11" s="25"/>
      <c r="P11" s="22"/>
      <c r="Q11" s="20">
        <f t="shared" si="0"/>
        <v>108</v>
      </c>
    </row>
    <row r="12" spans="1:74" x14ac:dyDescent="0.3">
      <c r="A12" s="11">
        <v>145</v>
      </c>
      <c r="B12" s="12">
        <v>934720003</v>
      </c>
      <c r="C12" s="38" t="s">
        <v>242</v>
      </c>
      <c r="D12" s="12" t="s">
        <v>243</v>
      </c>
      <c r="E12" s="15" t="s">
        <v>225</v>
      </c>
      <c r="F12" s="36"/>
      <c r="G12" s="37"/>
      <c r="H12" s="37"/>
      <c r="I12" s="16"/>
      <c r="J12" s="29"/>
      <c r="K12" s="11"/>
      <c r="L12" s="18">
        <v>17</v>
      </c>
      <c r="M12" s="18">
        <v>74</v>
      </c>
      <c r="N12" s="18">
        <v>0</v>
      </c>
      <c r="O12" s="25"/>
      <c r="P12" s="22"/>
      <c r="Q12" s="20">
        <f t="shared" si="0"/>
        <v>0</v>
      </c>
    </row>
    <row r="13" spans="1:74" x14ac:dyDescent="0.3">
      <c r="A13" s="11">
        <v>145</v>
      </c>
      <c r="B13" s="12">
        <v>972550449</v>
      </c>
      <c r="C13" s="39" t="s">
        <v>244</v>
      </c>
      <c r="D13" s="12" t="s">
        <v>245</v>
      </c>
      <c r="E13" s="15" t="s">
        <v>225</v>
      </c>
      <c r="F13" s="40" t="s">
        <v>269</v>
      </c>
      <c r="G13" s="41"/>
      <c r="H13" s="41" t="s">
        <v>246</v>
      </c>
      <c r="I13" s="42"/>
      <c r="J13" s="29">
        <v>197212</v>
      </c>
      <c r="K13" s="43">
        <v>2000</v>
      </c>
      <c r="L13" s="18">
        <v>336</v>
      </c>
      <c r="M13" s="44">
        <v>83</v>
      </c>
      <c r="N13" s="44">
        <v>0</v>
      </c>
      <c r="O13" s="45">
        <v>779</v>
      </c>
      <c r="P13" s="19">
        <v>779</v>
      </c>
      <c r="Q13" s="20">
        <f t="shared" si="0"/>
        <v>1221</v>
      </c>
    </row>
    <row r="14" spans="1:74" x14ac:dyDescent="0.3">
      <c r="A14" s="11">
        <v>145</v>
      </c>
      <c r="B14" s="12">
        <v>972550446</v>
      </c>
      <c r="C14" s="39" t="s">
        <v>247</v>
      </c>
      <c r="D14" s="12" t="s">
        <v>245</v>
      </c>
      <c r="E14" s="15" t="s">
        <v>225</v>
      </c>
      <c r="F14" s="40" t="s">
        <v>269</v>
      </c>
      <c r="G14" s="46"/>
      <c r="H14" s="41" t="s">
        <v>246</v>
      </c>
      <c r="I14" s="42"/>
      <c r="J14" s="29">
        <v>197212</v>
      </c>
      <c r="K14" s="43">
        <v>2000</v>
      </c>
      <c r="L14" s="18">
        <v>121</v>
      </c>
      <c r="M14" s="44">
        <v>100</v>
      </c>
      <c r="N14" s="44">
        <v>10</v>
      </c>
      <c r="O14" s="45">
        <v>665</v>
      </c>
      <c r="P14" s="19">
        <v>665</v>
      </c>
      <c r="Q14" s="20">
        <f t="shared" si="0"/>
        <v>1335</v>
      </c>
    </row>
    <row r="15" spans="1:74" x14ac:dyDescent="0.3">
      <c r="A15" s="11">
        <v>145</v>
      </c>
      <c r="B15" s="12">
        <v>972580016</v>
      </c>
      <c r="C15" s="38" t="s">
        <v>248</v>
      </c>
      <c r="D15" s="12" t="s">
        <v>224</v>
      </c>
      <c r="E15" s="15" t="s">
        <v>225</v>
      </c>
      <c r="F15" s="53" t="s">
        <v>270</v>
      </c>
      <c r="G15" s="47"/>
      <c r="H15" s="41" t="s">
        <v>246</v>
      </c>
      <c r="I15" s="42"/>
      <c r="J15" s="29">
        <v>197202</v>
      </c>
      <c r="K15" s="43">
        <v>2000</v>
      </c>
      <c r="L15" s="18">
        <v>0</v>
      </c>
      <c r="M15" s="44">
        <v>0</v>
      </c>
      <c r="N15" s="44">
        <v>0</v>
      </c>
      <c r="O15" s="48"/>
      <c r="P15" s="22"/>
      <c r="Q15" s="20">
        <f t="shared" si="0"/>
        <v>2000</v>
      </c>
    </row>
    <row r="16" spans="1:74" x14ac:dyDescent="0.3">
      <c r="A16" s="11">
        <v>145</v>
      </c>
      <c r="B16" s="12">
        <v>972720138</v>
      </c>
      <c r="C16" s="39" t="s">
        <v>249</v>
      </c>
      <c r="D16" s="12" t="s">
        <v>224</v>
      </c>
      <c r="E16" s="15" t="s">
        <v>225</v>
      </c>
      <c r="F16" s="53" t="s">
        <v>270</v>
      </c>
      <c r="G16" s="47"/>
      <c r="H16" s="41" t="s">
        <v>246</v>
      </c>
      <c r="I16" s="42"/>
      <c r="J16" s="29">
        <v>197202</v>
      </c>
      <c r="K16" s="43">
        <v>2000</v>
      </c>
      <c r="L16" s="18">
        <v>0</v>
      </c>
      <c r="M16" s="44">
        <v>0</v>
      </c>
      <c r="N16" s="44">
        <v>4</v>
      </c>
      <c r="O16" s="48"/>
      <c r="P16" s="22"/>
      <c r="Q16" s="20">
        <f t="shared" si="0"/>
        <v>2000</v>
      </c>
    </row>
    <row r="17" spans="1:17" ht="15.6" x14ac:dyDescent="0.3">
      <c r="A17" s="11">
        <v>145</v>
      </c>
      <c r="B17" s="12">
        <v>881550508</v>
      </c>
      <c r="C17" s="38" t="s">
        <v>250</v>
      </c>
      <c r="D17" s="12"/>
      <c r="E17" s="12" t="s">
        <v>225</v>
      </c>
      <c r="F17" s="49"/>
      <c r="G17" s="50"/>
      <c r="H17" s="50"/>
      <c r="I17" s="51" t="s">
        <v>251</v>
      </c>
      <c r="J17" s="52"/>
      <c r="K17" s="53">
        <v>1</v>
      </c>
      <c r="L17" s="18">
        <v>1</v>
      </c>
      <c r="M17" s="18">
        <v>0</v>
      </c>
      <c r="N17" s="18">
        <v>0</v>
      </c>
      <c r="O17" s="22"/>
      <c r="P17" s="22"/>
      <c r="Q17" s="20">
        <f t="shared" si="0"/>
        <v>1</v>
      </c>
    </row>
    <row r="18" spans="1:17" x14ac:dyDescent="0.3">
      <c r="A18" s="11">
        <v>145</v>
      </c>
      <c r="B18" s="12" t="s">
        <v>252</v>
      </c>
      <c r="C18" s="54" t="s">
        <v>253</v>
      </c>
      <c r="D18" s="12" t="s">
        <v>224</v>
      </c>
      <c r="E18" s="12" t="s">
        <v>225</v>
      </c>
      <c r="F18" s="55" t="s">
        <v>268</v>
      </c>
      <c r="G18" s="55" t="s">
        <v>254</v>
      </c>
      <c r="H18" s="55" t="s">
        <v>255</v>
      </c>
      <c r="I18" s="56">
        <v>72040</v>
      </c>
      <c r="J18" s="29">
        <v>197734</v>
      </c>
      <c r="K18" s="11">
        <v>110</v>
      </c>
      <c r="L18" s="18">
        <v>0</v>
      </c>
      <c r="M18" s="18">
        <v>0</v>
      </c>
      <c r="N18" s="18">
        <v>0</v>
      </c>
      <c r="O18" s="22"/>
      <c r="P18" s="22"/>
      <c r="Q18" s="20">
        <f t="shared" si="0"/>
        <v>110</v>
      </c>
    </row>
    <row r="19" spans="1:17" x14ac:dyDescent="0.3">
      <c r="A19" s="11">
        <v>145</v>
      </c>
      <c r="B19" s="12" t="s">
        <v>256</v>
      </c>
      <c r="C19" s="38" t="s">
        <v>257</v>
      </c>
      <c r="D19" s="12" t="s">
        <v>224</v>
      </c>
      <c r="E19" s="12" t="s">
        <v>225</v>
      </c>
      <c r="F19" s="55" t="s">
        <v>258</v>
      </c>
      <c r="G19" s="55" t="s">
        <v>259</v>
      </c>
      <c r="H19" s="55" t="s">
        <v>260</v>
      </c>
      <c r="I19" s="17">
        <v>72122</v>
      </c>
      <c r="J19" s="29">
        <v>197740</v>
      </c>
      <c r="K19" s="11">
        <v>108</v>
      </c>
      <c r="L19" s="18">
        <v>0</v>
      </c>
      <c r="M19" s="18">
        <v>0</v>
      </c>
      <c r="N19" s="18">
        <v>0</v>
      </c>
      <c r="O19" s="22"/>
      <c r="P19" s="22"/>
      <c r="Q19" s="20">
        <f t="shared" si="0"/>
        <v>108</v>
      </c>
    </row>
    <row r="20" spans="1:17" x14ac:dyDescent="0.3">
      <c r="A20" s="11">
        <v>145</v>
      </c>
      <c r="B20" s="12" t="s">
        <v>261</v>
      </c>
      <c r="C20" s="38" t="s">
        <v>262</v>
      </c>
      <c r="D20" s="12" t="s">
        <v>224</v>
      </c>
      <c r="E20" s="12" t="s">
        <v>225</v>
      </c>
      <c r="F20" s="55" t="s">
        <v>267</v>
      </c>
      <c r="G20" s="57" t="s">
        <v>263</v>
      </c>
      <c r="H20" s="57" t="s">
        <v>264</v>
      </c>
      <c r="I20" s="17">
        <v>72121</v>
      </c>
      <c r="J20" s="29">
        <v>197699</v>
      </c>
      <c r="K20" s="11">
        <v>30</v>
      </c>
      <c r="L20" s="18">
        <v>0</v>
      </c>
      <c r="M20" s="18">
        <v>0</v>
      </c>
      <c r="N20" s="18">
        <v>0</v>
      </c>
      <c r="O20" s="22"/>
      <c r="P20" s="22"/>
      <c r="Q20" s="20">
        <f t="shared" si="0"/>
        <v>30</v>
      </c>
    </row>
    <row r="21" spans="1:17" x14ac:dyDescent="0.3">
      <c r="A21" s="11">
        <v>145</v>
      </c>
      <c r="B21" s="12" t="s">
        <v>265</v>
      </c>
      <c r="C21" s="58" t="s">
        <v>266</v>
      </c>
      <c r="D21" s="12" t="s">
        <v>224</v>
      </c>
      <c r="E21" s="12" t="s">
        <v>225</v>
      </c>
      <c r="F21" s="55" t="s">
        <v>258</v>
      </c>
      <c r="G21" s="57" t="s">
        <v>263</v>
      </c>
      <c r="H21" s="57" t="s">
        <v>264</v>
      </c>
      <c r="I21" s="17">
        <v>72121</v>
      </c>
      <c r="J21" s="29">
        <v>197699</v>
      </c>
      <c r="K21" s="11">
        <v>30</v>
      </c>
      <c r="L21" s="18">
        <v>0</v>
      </c>
      <c r="M21" s="18">
        <v>0</v>
      </c>
      <c r="N21" s="18">
        <v>0</v>
      </c>
      <c r="O21" s="19"/>
      <c r="P21" s="19"/>
      <c r="Q21" s="20">
        <f t="shared" si="0"/>
        <v>30</v>
      </c>
    </row>
    <row r="22" spans="1:17" x14ac:dyDescent="0.3">
      <c r="A22" s="11"/>
      <c r="B22" s="12"/>
      <c r="C22" s="59"/>
      <c r="D22" s="12"/>
      <c r="E22" s="60"/>
      <c r="F22" s="60"/>
      <c r="G22" s="57"/>
      <c r="H22" s="57"/>
      <c r="I22" s="61"/>
      <c r="J22" s="29"/>
      <c r="K22" s="11"/>
      <c r="L22" s="62"/>
      <c r="M22" s="62"/>
      <c r="N22" s="62"/>
      <c r="O22" s="22"/>
      <c r="P22" s="22"/>
      <c r="Q22" s="20">
        <f t="shared" si="0"/>
        <v>0</v>
      </c>
    </row>
    <row r="23" spans="1:17" x14ac:dyDescent="0.3">
      <c r="A23" s="11"/>
      <c r="B23" s="12"/>
      <c r="C23" s="63"/>
      <c r="D23" s="12"/>
      <c r="E23" s="60"/>
      <c r="F23" s="60"/>
      <c r="G23" s="57"/>
      <c r="H23" s="57"/>
      <c r="I23" s="61"/>
      <c r="J23" s="29"/>
      <c r="K23" s="11"/>
      <c r="L23" s="64"/>
      <c r="M23" s="64"/>
      <c r="N23" s="64"/>
      <c r="O23" s="65"/>
      <c r="P23" s="65"/>
      <c r="Q23" s="20">
        <f t="shared" si="0"/>
        <v>0</v>
      </c>
    </row>
    <row r="24" spans="1:17" x14ac:dyDescent="0.3">
      <c r="A24" s="11"/>
      <c r="B24" s="12"/>
      <c r="C24" s="38"/>
      <c r="D24" s="12"/>
      <c r="E24" s="60"/>
      <c r="F24" s="60"/>
      <c r="G24" s="57"/>
      <c r="H24" s="57"/>
      <c r="I24" s="61"/>
      <c r="J24" s="29"/>
      <c r="K24" s="11"/>
      <c r="L24" s="66"/>
      <c r="M24" s="66"/>
      <c r="N24" s="66"/>
      <c r="O24" s="55"/>
      <c r="P24" s="55"/>
      <c r="Q24" s="20">
        <f t="shared" si="0"/>
        <v>0</v>
      </c>
    </row>
    <row r="25" spans="1:17" x14ac:dyDescent="0.3">
      <c r="A25" s="11"/>
      <c r="B25" s="12"/>
      <c r="C25" s="38"/>
      <c r="D25" s="12"/>
      <c r="E25" s="60"/>
      <c r="F25" s="60"/>
      <c r="G25" s="67"/>
      <c r="H25" s="67"/>
      <c r="I25"/>
      <c r="J25" s="29"/>
      <c r="K25" s="11"/>
      <c r="L25" s="68"/>
      <c r="M25" s="68"/>
      <c r="N25" s="68"/>
      <c r="O25" s="55"/>
      <c r="P25" s="55"/>
      <c r="Q25" s="20">
        <f t="shared" si="0"/>
        <v>0</v>
      </c>
    </row>
    <row r="26" spans="1:17" x14ac:dyDescent="0.3">
      <c r="A26" s="11"/>
      <c r="B26" s="12"/>
      <c r="C26" s="38"/>
      <c r="D26" s="17"/>
      <c r="E26" s="60"/>
      <c r="F26" s="60"/>
      <c r="G26" s="57"/>
      <c r="H26" s="57"/>
      <c r="I26" s="69"/>
      <c r="J26" s="29"/>
      <c r="K26" s="11"/>
      <c r="L26" s="68"/>
      <c r="M26" s="68"/>
      <c r="N26" s="68"/>
      <c r="O26" s="65"/>
      <c r="P26" s="65"/>
      <c r="Q26" s="20">
        <f t="shared" si="0"/>
        <v>0</v>
      </c>
    </row>
    <row r="27" spans="1:17" x14ac:dyDescent="0.3">
      <c r="A27" s="11"/>
      <c r="B27" s="12"/>
      <c r="C27" s="38"/>
      <c r="D27" s="17"/>
      <c r="E27" s="60"/>
      <c r="F27" s="60"/>
      <c r="G27" s="60"/>
      <c r="H27" s="60"/>
      <c r="I27" s="61"/>
      <c r="J27" s="29"/>
      <c r="K27" s="11"/>
      <c r="L27" s="68"/>
      <c r="M27" s="68"/>
      <c r="N27" s="68"/>
      <c r="O27" s="55"/>
      <c r="P27" s="55"/>
      <c r="Q27" s="20">
        <f t="shared" si="0"/>
        <v>0</v>
      </c>
    </row>
    <row r="28" spans="1:17" x14ac:dyDescent="0.3">
      <c r="A28" s="11"/>
      <c r="B28" s="12"/>
      <c r="C28" s="38"/>
      <c r="D28" s="17"/>
      <c r="E28" s="60"/>
      <c r="F28" s="60"/>
      <c r="G28" s="60"/>
      <c r="H28" s="60"/>
      <c r="I28" s="61"/>
      <c r="J28" s="17"/>
      <c r="K28" s="11"/>
      <c r="L28" s="68"/>
      <c r="M28" s="68"/>
      <c r="N28" s="68"/>
      <c r="O28" s="55"/>
      <c r="P28" s="55"/>
      <c r="Q28" s="20">
        <f t="shared" si="0"/>
        <v>0</v>
      </c>
    </row>
    <row r="29" spans="1:17" x14ac:dyDescent="0.3">
      <c r="A29" s="11"/>
      <c r="B29" s="12"/>
      <c r="C29" s="38"/>
      <c r="D29" s="12"/>
      <c r="E29" s="60"/>
      <c r="F29" s="60"/>
      <c r="G29" s="60"/>
      <c r="H29" s="60"/>
      <c r="I29" s="61"/>
      <c r="J29" s="17"/>
      <c r="K29" s="11"/>
      <c r="L29" s="70"/>
      <c r="M29" s="70"/>
      <c r="N29" s="70"/>
      <c r="O29" s="55"/>
      <c r="P29" s="55"/>
      <c r="Q29" s="20">
        <f t="shared" si="0"/>
        <v>0</v>
      </c>
    </row>
    <row r="30" spans="1:17" x14ac:dyDescent="0.3">
      <c r="A30" s="11"/>
      <c r="B30" s="12"/>
      <c r="C30" s="38"/>
      <c r="D30" s="17"/>
      <c r="E30" s="60"/>
      <c r="F30" s="60"/>
      <c r="G30" s="60"/>
      <c r="H30" s="60"/>
      <c r="I30" s="61"/>
      <c r="J30" s="17"/>
      <c r="K30" s="11"/>
      <c r="L30" s="70"/>
      <c r="M30" s="70"/>
      <c r="N30" s="70"/>
      <c r="O30" s="65"/>
      <c r="P30" s="65"/>
      <c r="Q30" s="20">
        <f t="shared" si="0"/>
        <v>0</v>
      </c>
    </row>
    <row r="31" spans="1:17" x14ac:dyDescent="0.3">
      <c r="A31" s="11"/>
      <c r="B31" s="12"/>
      <c r="C31" s="38"/>
      <c r="D31" s="12"/>
      <c r="E31" s="60"/>
      <c r="F31" s="60"/>
      <c r="G31" s="60"/>
      <c r="H31" s="60"/>
      <c r="I31" s="61"/>
      <c r="J31" s="29"/>
      <c r="K31" s="53"/>
      <c r="L31" s="70"/>
      <c r="M31" s="70"/>
      <c r="N31" s="70"/>
      <c r="O31" s="65"/>
      <c r="P31" s="65"/>
      <c r="Q31" s="20">
        <f t="shared" si="0"/>
        <v>0</v>
      </c>
    </row>
    <row r="32" spans="1:17" x14ac:dyDescent="0.3">
      <c r="A32" s="11"/>
      <c r="B32" s="12"/>
      <c r="C32" s="38"/>
      <c r="D32" s="12"/>
      <c r="E32" s="60"/>
      <c r="F32" s="60"/>
      <c r="G32" s="60"/>
      <c r="H32" s="60"/>
      <c r="I32" s="61"/>
      <c r="J32" s="29"/>
      <c r="K32" s="11"/>
      <c r="L32" s="68"/>
      <c r="M32" s="68"/>
      <c r="N32" s="68"/>
      <c r="O32" s="55"/>
      <c r="P32" s="55"/>
      <c r="Q32" s="20">
        <f t="shared" si="0"/>
        <v>0</v>
      </c>
    </row>
    <row r="33" spans="1:17" x14ac:dyDescent="0.3">
      <c r="A33" s="11"/>
      <c r="B33" s="12"/>
      <c r="C33" s="38"/>
      <c r="D33" s="12"/>
      <c r="E33" s="60"/>
      <c r="F33" s="60"/>
      <c r="G33" s="60"/>
      <c r="H33" s="60"/>
      <c r="I33" s="61"/>
      <c r="J33" s="29"/>
      <c r="K33" s="11"/>
      <c r="L33" s="70"/>
      <c r="M33" s="70"/>
      <c r="N33" s="70"/>
      <c r="O33" s="65"/>
      <c r="P33" s="65"/>
      <c r="Q33" s="20">
        <f t="shared" si="0"/>
        <v>0</v>
      </c>
    </row>
    <row r="34" spans="1:17" x14ac:dyDescent="0.3">
      <c r="A34" s="11"/>
      <c r="B34" s="12"/>
      <c r="C34" s="38"/>
      <c r="D34" s="12"/>
      <c r="E34" s="60"/>
      <c r="F34" s="60"/>
      <c r="G34" s="60"/>
      <c r="H34" s="60"/>
      <c r="I34" s="61"/>
      <c r="J34" s="29"/>
      <c r="K34" s="11"/>
      <c r="L34" s="68"/>
      <c r="M34" s="68"/>
      <c r="N34" s="68"/>
      <c r="O34" s="65"/>
      <c r="P34" s="65"/>
      <c r="Q34" s="20">
        <f t="shared" si="0"/>
        <v>0</v>
      </c>
    </row>
    <row r="35" spans="1:17" x14ac:dyDescent="0.3">
      <c r="A35" s="11"/>
      <c r="B35" s="12"/>
      <c r="C35" s="38"/>
      <c r="D35" s="12"/>
      <c r="E35" s="60"/>
      <c r="F35" s="60"/>
      <c r="G35" s="60"/>
      <c r="H35" s="60"/>
      <c r="I35" s="61"/>
      <c r="J35" s="29"/>
      <c r="K35" s="11"/>
      <c r="L35" s="70"/>
      <c r="M35" s="70"/>
      <c r="N35" s="70"/>
      <c r="O35" s="65"/>
      <c r="P35" s="65"/>
      <c r="Q35" s="20">
        <f t="shared" si="0"/>
        <v>0</v>
      </c>
    </row>
    <row r="36" spans="1:17" x14ac:dyDescent="0.3">
      <c r="A36" s="11"/>
      <c r="B36" s="12"/>
      <c r="C36" s="38"/>
      <c r="D36" s="12"/>
      <c r="E36" s="60"/>
      <c r="F36" s="60"/>
      <c r="G36" s="60"/>
      <c r="H36" s="60"/>
      <c r="I36" s="61"/>
      <c r="J36" s="29"/>
      <c r="K36" s="11"/>
      <c r="L36" s="70"/>
      <c r="M36" s="70"/>
      <c r="N36" s="70"/>
      <c r="O36" s="65"/>
      <c r="P36" s="65"/>
      <c r="Q36" s="20">
        <f t="shared" si="0"/>
        <v>0</v>
      </c>
    </row>
    <row r="37" spans="1:17" x14ac:dyDescent="0.3">
      <c r="A37" s="12"/>
      <c r="B37" s="12"/>
      <c r="C37" s="71"/>
      <c r="D37" s="12"/>
      <c r="E37" s="60"/>
      <c r="F37" s="60"/>
      <c r="G37" s="60"/>
      <c r="H37" s="60"/>
      <c r="I37" s="61"/>
      <c r="J37" s="29"/>
      <c r="K37" s="11"/>
      <c r="L37" s="68"/>
      <c r="M37" s="68"/>
      <c r="N37" s="68"/>
      <c r="O37" s="65"/>
      <c r="P37" s="65"/>
      <c r="Q37" s="20">
        <f t="shared" si="0"/>
        <v>0</v>
      </c>
    </row>
    <row r="38" spans="1:17" ht="25.05" customHeight="1" x14ac:dyDescent="0.3">
      <c r="A38" s="12"/>
      <c r="B38" s="12"/>
      <c r="C38" s="38"/>
      <c r="D38" s="12"/>
      <c r="E38" s="60"/>
      <c r="F38" s="60"/>
      <c r="G38" s="60"/>
      <c r="H38" s="60"/>
      <c r="I38" s="61"/>
      <c r="J38" s="17"/>
      <c r="K38" s="12"/>
      <c r="L38" s="68"/>
      <c r="M38" s="68"/>
      <c r="N38" s="68"/>
      <c r="O38" s="55"/>
      <c r="P38" s="55"/>
      <c r="Q38" s="20">
        <f t="shared" si="0"/>
        <v>0</v>
      </c>
    </row>
    <row r="39" spans="1:17" x14ac:dyDescent="0.3">
      <c r="A39" s="12"/>
      <c r="B39" s="12"/>
      <c r="C39" s="38"/>
      <c r="D39" s="12"/>
      <c r="E39" s="60"/>
      <c r="F39" s="60"/>
      <c r="G39" s="60"/>
      <c r="H39" s="60"/>
      <c r="I39" s="29"/>
      <c r="J39" s="17"/>
      <c r="K39" s="12"/>
      <c r="L39" s="68"/>
      <c r="M39" s="68"/>
      <c r="N39" s="68"/>
      <c r="O39" s="55"/>
      <c r="P39" s="55"/>
      <c r="Q39" s="20">
        <f t="shared" si="0"/>
        <v>0</v>
      </c>
    </row>
    <row r="40" spans="1:17" x14ac:dyDescent="0.3">
      <c r="A40" s="12"/>
      <c r="B40" s="12"/>
      <c r="C40" s="38"/>
      <c r="D40" s="12"/>
      <c r="E40" s="60"/>
      <c r="F40" s="60"/>
      <c r="G40" s="60"/>
      <c r="H40" s="60"/>
      <c r="I40" s="29"/>
      <c r="J40" s="29"/>
      <c r="K40" s="12"/>
      <c r="L40" s="68"/>
      <c r="M40" s="68"/>
      <c r="N40" s="68"/>
      <c r="O40" s="65"/>
      <c r="P40" s="65"/>
      <c r="Q40" s="20">
        <f t="shared" si="0"/>
        <v>0</v>
      </c>
    </row>
    <row r="41" spans="1:17" x14ac:dyDescent="0.3">
      <c r="A41" s="12"/>
      <c r="B41" s="12"/>
      <c r="C41" s="38"/>
      <c r="D41" s="12"/>
      <c r="E41" s="60"/>
      <c r="F41" s="60"/>
      <c r="G41" s="60"/>
      <c r="H41" s="60"/>
      <c r="I41" s="29"/>
      <c r="J41" s="29"/>
      <c r="K41" s="12"/>
      <c r="L41" s="68"/>
      <c r="M41" s="68"/>
      <c r="N41" s="68"/>
      <c r="O41" s="65"/>
      <c r="P41" s="65"/>
      <c r="Q41" s="20">
        <f t="shared" si="0"/>
        <v>0</v>
      </c>
    </row>
    <row r="42" spans="1:17" ht="35.1" customHeight="1" x14ac:dyDescent="0.3">
      <c r="A42" s="12"/>
      <c r="B42" s="65"/>
      <c r="C42" s="72"/>
      <c r="D42" s="73"/>
      <c r="E42" s="60"/>
      <c r="F42" s="60"/>
      <c r="I42"/>
      <c r="J42" s="29"/>
      <c r="K42" s="12"/>
      <c r="L42" s="68"/>
      <c r="M42" s="68"/>
      <c r="N42" s="68"/>
      <c r="O42" s="65"/>
      <c r="P42" s="65"/>
      <c r="Q42" s="20">
        <f t="shared" si="0"/>
        <v>0</v>
      </c>
    </row>
    <row r="43" spans="1:17" x14ac:dyDescent="0.3">
      <c r="A43" s="12"/>
      <c r="B43" s="65"/>
      <c r="C43" s="38"/>
      <c r="D43" s="73"/>
      <c r="E43" s="60"/>
      <c r="F43" s="60"/>
      <c r="G43" s="60"/>
      <c r="H43" s="60"/>
      <c r="I43" s="74"/>
      <c r="J43" s="17"/>
      <c r="K43" s="12"/>
      <c r="L43" s="68"/>
      <c r="M43" s="68"/>
      <c r="N43" s="68"/>
      <c r="O43" s="55"/>
      <c r="P43" s="55"/>
      <c r="Q43" s="20">
        <f t="shared" si="0"/>
        <v>0</v>
      </c>
    </row>
    <row r="44" spans="1:17" x14ac:dyDescent="0.3">
      <c r="A44" s="12"/>
      <c r="B44" s="12"/>
      <c r="C44" s="75"/>
      <c r="D44" s="76"/>
      <c r="E44" s="60"/>
      <c r="F44" s="60"/>
      <c r="G44" s="60"/>
      <c r="H44" s="60"/>
      <c r="I44" s="29"/>
      <c r="J44" s="29"/>
      <c r="K44" s="12"/>
      <c r="L44" s="68"/>
      <c r="M44" s="68"/>
      <c r="N44" s="68"/>
      <c r="O44" s="65"/>
      <c r="P44" s="65"/>
      <c r="Q44" s="19">
        <f t="shared" si="0"/>
        <v>0</v>
      </c>
    </row>
    <row r="45" spans="1:17" x14ac:dyDescent="0.3">
      <c r="A45" s="12"/>
      <c r="B45" s="12"/>
      <c r="C45" s="38"/>
      <c r="D45" s="73"/>
      <c r="E45" s="60"/>
      <c r="F45" s="60"/>
      <c r="G45" s="60"/>
      <c r="H45" s="60"/>
      <c r="I45" s="77"/>
      <c r="J45" s="29"/>
      <c r="K45" s="12"/>
      <c r="L45" s="60"/>
      <c r="M45" s="60"/>
      <c r="N45" s="60"/>
      <c r="O45" s="65"/>
      <c r="P45" s="65"/>
      <c r="Q45" s="19">
        <f t="shared" si="0"/>
        <v>0</v>
      </c>
    </row>
    <row r="46" spans="1:17" x14ac:dyDescent="0.3">
      <c r="J46" s="81"/>
    </row>
    <row r="47" spans="1:17" x14ac:dyDescent="0.3">
      <c r="J47" s="81"/>
    </row>
    <row r="48" spans="1:17" x14ac:dyDescent="0.3">
      <c r="J48" s="81"/>
    </row>
    <row r="49" spans="10:10" x14ac:dyDescent="0.3">
      <c r="J49" s="81"/>
    </row>
    <row r="50" spans="10:10" x14ac:dyDescent="0.3">
      <c r="J50" s="81"/>
    </row>
    <row r="51" spans="10:10" x14ac:dyDescent="0.3">
      <c r="J51" s="81"/>
    </row>
    <row r="52" spans="10:10" x14ac:dyDescent="0.3">
      <c r="J52" s="81"/>
    </row>
    <row r="53" spans="10:10" x14ac:dyDescent="0.3">
      <c r="J53" s="8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3DC4EAE8C40A4A8AD71A5DFDA80468" ma:contentTypeVersion="12" ma:contentTypeDescription="Create a new document." ma:contentTypeScope="" ma:versionID="510aa606e4542e291dda08e3a786563c">
  <xsd:schema xmlns:xsd="http://www.w3.org/2001/XMLSchema" xmlns:xs="http://www.w3.org/2001/XMLSchema" xmlns:p="http://schemas.microsoft.com/office/2006/metadata/properties" xmlns:ns2="c5b62cf1-768a-496e-baf3-d4a94dc1fc83" xmlns:ns3="00142ebe-c2e8-4177-bb83-524ad315549d" targetNamespace="http://schemas.microsoft.com/office/2006/metadata/properties" ma:root="true" ma:fieldsID="cd066cd8ce652d93a408d64fa1cb6215" ns2:_="" ns3:_="">
    <xsd:import namespace="c5b62cf1-768a-496e-baf3-d4a94dc1fc83"/>
    <xsd:import namespace="00142ebe-c2e8-4177-bb83-524ad31554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b62cf1-768a-496e-baf3-d4a94dc1fc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5d298e1-810f-4711-8be9-ef4702f2a3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142ebe-c2e8-4177-bb83-524ad315549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f7a913f-5993-468c-a8ce-7a0744709565}" ma:internalName="TaxCatchAll" ma:showField="CatchAllData" ma:web="00142ebe-c2e8-4177-bb83-524ad31554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142ebe-c2e8-4177-bb83-524ad315549d" xsi:nil="true"/>
    <lcf76f155ced4ddcb4097134ff3c332f xmlns="c5b62cf1-768a-496e-baf3-d4a94dc1fc8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C94E81-4A55-497B-8720-62B3B98D1C3A}"/>
</file>

<file path=customXml/itemProps2.xml><?xml version="1.0" encoding="utf-8"?>
<ds:datastoreItem xmlns:ds="http://schemas.openxmlformats.org/officeDocument/2006/customXml" ds:itemID="{C647A994-7742-425A-B42E-F7233E555FB7}"/>
</file>

<file path=customXml/itemProps3.xml><?xml version="1.0" encoding="utf-8"?>
<ds:datastoreItem xmlns:ds="http://schemas.openxmlformats.org/officeDocument/2006/customXml" ds:itemID="{FA9230DE-C33F-4E61-A3F1-A3F830129E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Rehab 1946</vt:lpstr>
      <vt:lpstr>Rehab 1976</vt:lpstr>
      <vt:lpstr>MISC.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Holland, Diane</cp:lastModifiedBy>
  <dcterms:created xsi:type="dcterms:W3CDTF">2025-02-26T16:26:52Z</dcterms:created>
  <dcterms:modified xsi:type="dcterms:W3CDTF">2025-03-17T14:23:49Z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0x010100E63DC4EAE8C40A4A8AD71A5DFDA80468</vt:lpwstr>
  </property>
</Properties>
</file>
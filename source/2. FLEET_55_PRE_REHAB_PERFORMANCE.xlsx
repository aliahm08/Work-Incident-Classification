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filterPrivacy="1" hidePivotFieldList="1" defaultThemeVersion="124226"/>
  <xr:revisionPtr revIDLastSave="0" documentId="8_{2FC9903F-8599-43DB-ACEE-00869BF224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LEET_55_PRE_REHAB_PERFORMANCE" sheetId="15" r:id="rId1"/>
    <sheet name="42 MONTHS_ITEM_FAILURES" sheetId="24" r:id="rId2"/>
  </sheets>
  <definedNames>
    <definedName name="ASSE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5" l="1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8" i="15"/>
  <c r="H9" i="15"/>
  <c r="H10" i="15"/>
  <c r="H11" i="15"/>
  <c r="H12" i="15"/>
  <c r="H13" i="15"/>
  <c r="H14" i="15"/>
  <c r="H15" i="15"/>
  <c r="H7" i="15"/>
  <c r="I68" i="15" l="1"/>
  <c r="G71" i="15"/>
  <c r="G72" i="15"/>
  <c r="G73" i="15"/>
  <c r="G74" i="15"/>
  <c r="G75" i="15"/>
  <c r="G76" i="15"/>
  <c r="G77" i="15"/>
  <c r="G78" i="15"/>
  <c r="G79" i="15"/>
  <c r="G69" i="15"/>
  <c r="G70" i="15"/>
  <c r="G68" i="15"/>
  <c r="G57" i="15"/>
  <c r="G58" i="15"/>
  <c r="G59" i="15"/>
  <c r="G60" i="15"/>
  <c r="G61" i="15"/>
  <c r="G62" i="15"/>
  <c r="G63" i="15"/>
  <c r="G64" i="15"/>
  <c r="G65" i="15"/>
  <c r="G66" i="15"/>
  <c r="G67" i="15"/>
  <c r="G56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27" i="15"/>
  <c r="G45" i="15" l="1"/>
  <c r="G46" i="15"/>
  <c r="G47" i="15"/>
  <c r="G48" i="15"/>
  <c r="G49" i="15"/>
  <c r="G50" i="15"/>
  <c r="G51" i="15"/>
  <c r="G52" i="15"/>
  <c r="G53" i="15"/>
  <c r="G54" i="15"/>
  <c r="G55" i="15"/>
  <c r="G44" i="15"/>
  <c r="G33" i="15"/>
  <c r="G34" i="15"/>
  <c r="G35" i="15"/>
  <c r="G36" i="15"/>
  <c r="G37" i="15"/>
  <c r="G38" i="15"/>
  <c r="G39" i="15"/>
  <c r="G40" i="15"/>
  <c r="G41" i="15"/>
  <c r="G42" i="15"/>
  <c r="G43" i="15"/>
  <c r="G32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9" i="15"/>
  <c r="G10" i="15"/>
  <c r="G11" i="15"/>
  <c r="G12" i="15"/>
  <c r="G13" i="15"/>
  <c r="G14" i="15"/>
  <c r="G15" i="15"/>
  <c r="G16" i="15"/>
  <c r="G17" i="15"/>
  <c r="G18" i="15"/>
  <c r="G19" i="15"/>
  <c r="G8" i="15"/>
  <c r="G7" i="15"/>
  <c r="I56" i="15"/>
  <c r="I44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J56" i="15" l="1"/>
  <c r="J8" i="15"/>
  <c r="J20" i="15"/>
  <c r="I32" i="15"/>
  <c r="I20" i="15"/>
  <c r="I8" i="15"/>
  <c r="J44" i="15"/>
  <c r="J32" i="15"/>
</calcChain>
</file>

<file path=xl/sharedStrings.xml><?xml version="1.0" encoding="utf-8"?>
<sst xmlns="http://schemas.openxmlformats.org/spreadsheetml/2006/main" count="384" uniqueCount="382">
  <si>
    <t>rehab</t>
  </si>
  <si>
    <t xml:space="preserve"> </t>
  </si>
  <si>
    <t>MDBF</t>
  </si>
  <si>
    <t>y = -2.1346x + 101315</t>
  </si>
  <si>
    <t>Date</t>
  </si>
  <si>
    <t>MILES</t>
  </si>
  <si>
    <t>RC</t>
  </si>
  <si>
    <t>preRehab</t>
  </si>
  <si>
    <t>postRehab</t>
  </si>
  <si>
    <t>rehabmarker</t>
  </si>
  <si>
    <t>annualAvg</t>
  </si>
  <si>
    <t>mDate</t>
  </si>
  <si>
    <t>SumOfMiles</t>
  </si>
  <si>
    <t>BMC</t>
  </si>
  <si>
    <r>
      <t>y = 3E+11e</t>
    </r>
    <r>
      <rPr>
        <vertAlign val="superscript"/>
        <sz val="10"/>
        <color rgb="FF000000"/>
        <rFont val="Calibri"/>
        <family val="2"/>
        <scheme val="minor"/>
      </rPr>
      <t>-4E-04x</t>
    </r>
  </si>
  <si>
    <t>FIRST 42 MONTHS TOP ITEMS FAILURE FOR FLEET 55</t>
  </si>
  <si>
    <t>ITEM DESCRIPTION</t>
  </si>
  <si>
    <t>OCCURRENCE</t>
  </si>
  <si>
    <t>SENSOR:COOLANT LEVEL</t>
  </si>
  <si>
    <t>CLAMP EXHAUST</t>
  </si>
  <si>
    <t>DIAMETER: 3.5 INCH, SHAPE: CIRCULAR, TYPE: V-BAND</t>
  </si>
  <si>
    <t>BELT, WATER PUMP</t>
  </si>
  <si>
    <t>CONNECTOR, ELECTRICAL: SPLICE KIT FOR COOLANT LEVEL SENSOR</t>
  </si>
  <si>
    <t>KIT:SPARK PLUG</t>
  </si>
  <si>
    <t>GASKET:AFTERTREATMENT DEVICE</t>
  </si>
  <si>
    <t>Chamber Brake and Sensor Assy</t>
  </si>
  <si>
    <t>SPRING:AIR SPRING</t>
  </si>
  <si>
    <t>CLAMP,STRAIN</t>
  </si>
  <si>
    <t>ASSEMBLY, RADIUS ROD</t>
  </si>
  <si>
    <t>HOSES &amp; LINES, COOLING</t>
  </si>
  <si>
    <t>CALIPER:ASSEMBLY DISC BRAKE</t>
  </si>
  <si>
    <t>DAMPER:STEERING W/SLEEVE</t>
  </si>
  <si>
    <t>SENSOR, OXYGEN: SYSTEM: EXHAUST</t>
  </si>
  <si>
    <t>RELAY, ELECTROMECHANICAL: 24 V</t>
  </si>
  <si>
    <t>COIL, IGNITION</t>
  </si>
  <si>
    <t>FILTER,TRANSMISSION</t>
  </si>
  <si>
    <t>BOLT, HEX:</t>
  </si>
  <si>
    <t>ASSEMBLY, AIR GOVERNOR:</t>
  </si>
  <si>
    <t>REGULATOR, VOLTAGE:</t>
  </si>
  <si>
    <t>CLAMP,HOSE</t>
  </si>
  <si>
    <t>BELT:GENERATOR</t>
  </si>
  <si>
    <t>LATCH, DOOR: STYLE: LEVER, TYPE: AUTOMOTIVE</t>
  </si>
  <si>
    <t>BLADE, WINDSHIELD WIPER:</t>
  </si>
  <si>
    <t>THERMOSTAT, MECHANICAL: SYSTEM: ENGINE</t>
  </si>
  <si>
    <t>ROTOR:Disk Brake</t>
  </si>
  <si>
    <t>SENSOR, PHOTO EYE: INCLUDES: HARNESS W/CONNECTOR</t>
  </si>
  <si>
    <t>CLAMP, V BAND: SYSTEM: ENGINE, USED ON: TURBO CHARGER</t>
  </si>
  <si>
    <t>CAP, PRESSURE: SURGE TANK</t>
  </si>
  <si>
    <t>REGULATOR, PRESSURE: CNG</t>
  </si>
  <si>
    <t>ASSEMBLY, HORN:</t>
  </si>
  <si>
    <t>WIPER:MOTOR</t>
  </si>
  <si>
    <t>GASKET:MARMON 4</t>
  </si>
  <si>
    <t>BATTERY, AGM: AMPERAGE: 1150 CCA, FEATURES: 3/8 THREADED POST, SIZE: GROUP 31, VOLTAGE: 12 VOLT</t>
  </si>
  <si>
    <t>SPRING:GAS CYLINDER SHOCK DEF DOOR</t>
  </si>
  <si>
    <t>GASKET:-CONNECTION, EXHAUST EGR</t>
  </si>
  <si>
    <t>LINK,WINDSHIELD WIPER:SADDLE</t>
  </si>
  <si>
    <t>FILTER,FUEL:LOW PRESSURE CNG C8.3G ENGINE, 0.3 Micron ,Largest OD=3.775",Overall Height=7.35",Thread Size:1-1/2-16 UN-2B,CERTIFICATION VMI</t>
  </si>
  <si>
    <t>KIT, SEAT BELT</t>
  </si>
  <si>
    <t>SENSOR, ABS:</t>
  </si>
  <si>
    <t>LATCH, RUBBER: USED ON: BELT GUARD</t>
  </si>
  <si>
    <t>ASSEMBLY, THROTTLEBODY:</t>
  </si>
  <si>
    <t>SIGN: DESIGNATION: CAUTION, LAYOUT: ORANGE TRIANGLE, TYPE: TRAFFIC, MATERIAL: REFLECTIVE</t>
  </si>
  <si>
    <t>INSULATION:CONNECTION</t>
  </si>
  <si>
    <t>VALVE, PNEUMATIC: LOCATION: FRONT, USED FOR: DOOR AIR DUMP</t>
  </si>
  <si>
    <t>VALVE, LEVELING</t>
  </si>
  <si>
    <t>MIRROR,VEHICLE</t>
  </si>
  <si>
    <t>BATTERY:SINGLE, AGM NORTHSTAR, 4-YEAR WARRANTY - (OEM ONLY)</t>
  </si>
  <si>
    <t>NUT:LOCK V-CLAMP</t>
  </si>
  <si>
    <t>SCREEN:ENGINE,FUEL INLET</t>
  </si>
  <si>
    <t>MODULE, CONTROLLER: SYSTEM: IGNITION</t>
  </si>
  <si>
    <t>GASKET, RUBBER / METAL</t>
  </si>
  <si>
    <t>WATER PUMP</t>
  </si>
  <si>
    <t>ACCELERATOR:</t>
  </si>
  <si>
    <t>FILTER:FUEL, FILTER</t>
  </si>
  <si>
    <t>ARM,WINDSHIELD WIPER</t>
  </si>
  <si>
    <t>VALVE, HEATER CONTROL: FEATURES: 1 INCH CABLE, SYSTEM: HVAC</t>
  </si>
  <si>
    <t>SENSOR,PROXIMITY:</t>
  </si>
  <si>
    <t>SENSOR,TRANSMISSION: SPEED</t>
  </si>
  <si>
    <t>REMOVER:FLUX DEGREASER,10 OUNCE CAN</t>
  </si>
  <si>
    <t>MODULE, BUMPER</t>
  </si>
  <si>
    <t>ABSORBER:SHOCK</t>
  </si>
  <si>
    <t xml:space="preserve"> ALTERNATOR</t>
  </si>
  <si>
    <t>RELAY, MECHANICAL: AMPERAGE: 400 A, FEATURES: POWER B-STABLE</t>
  </si>
  <si>
    <t>GREASE</t>
  </si>
  <si>
    <t>SPLICE,CONDUCTOR:18-22 AWG COND</t>
  </si>
  <si>
    <t>CLAMP, V BAND: SYSTEM: AFTER TREATMENT</t>
  </si>
  <si>
    <t>POTENTIOMETER:</t>
  </si>
  <si>
    <t>SUPPORT:ENGINE,FAN ASSEMBLY</t>
  </si>
  <si>
    <t>SENSOR:TEMPERATURE,CNG 8.3G PLUS CUMMINGS ENGINE</t>
  </si>
  <si>
    <t>ASSEMBLY, BRAKE TREADLE: INCLUDES: PLATE</t>
  </si>
  <si>
    <t>HOSE,HVAC:1.5 IN,4 PLY SILICONE,AUXILIARY HEATER</t>
  </si>
  <si>
    <t>STRAP, GROUND</t>
  </si>
  <si>
    <t>KIT:Filter, Graham White FK15(Used on QBA15 &amp; QBA15-NX5 Dryer Assemblies)Graham White#FK15 OEM only</t>
  </si>
  <si>
    <t>HOLDER,FUSE:BLADE FUSE,ATO, VARIOUS BUSES</t>
  </si>
  <si>
    <t>A/C BELT</t>
  </si>
  <si>
    <t>SENSOR:EXIT DOOR</t>
  </si>
  <si>
    <t>MODULE:VANSCO 1615</t>
  </si>
  <si>
    <t>CLAMP, BAND: DIAMETER: 4 INCH, FEATURES: SPRING LOADED, MATERIAL: STAINLESS STEEL, TYPE: FLAT, WIDTH: 3/4 INCH</t>
  </si>
  <si>
    <t>TENSIONER,BELT:WATER PUMP</t>
  </si>
  <si>
    <t>STRAP,GROUNDING:ORION 011008035</t>
  </si>
  <si>
    <t>VALVE, AIR: FITS: 8.3 GAS PLUS ENGINE, USED FOR: FLOW CONTROL</t>
  </si>
  <si>
    <t>SWITCH:PASSENGER SIGNAL CHIME,2300, 2400, 2800, 5400,WMATA FLEET NEW FLYER BUS</t>
  </si>
  <si>
    <t>BREATHER, CRANKCASE</t>
  </si>
  <si>
    <t>EQUALIZER, BATTERY: MODEL: 80-80 CAN, TYPE: LOW VOLTAGE DISCONNECT</t>
  </si>
  <si>
    <t>RECEPTACLE:CNG FUEL,FUELING,5K,CNG BUSES</t>
  </si>
  <si>
    <t>NUT:SLOTTED SPANNER - OEM ONLY,FITS M100-1.5 Thread</t>
  </si>
  <si>
    <t>VALVE:FUEL SHUT OFF, GAS</t>
  </si>
  <si>
    <t>FILTER, AIR INTAKE:</t>
  </si>
  <si>
    <t>TAPE, ALUMINUM FOIL:</t>
  </si>
  <si>
    <t>PULLEY:CRANKSHAFT, ISL 280 - (OEM ONLY)</t>
  </si>
  <si>
    <t>LEAD,TEST:METRO FLX W/ CUMMINS CLECT ENGINE</t>
  </si>
  <si>
    <t>HARNESS, WIRING: USED FOR: IGNITION COIL TO ICM</t>
  </si>
  <si>
    <t>NUT, CASTLE: M12 X 1.5</t>
  </si>
  <si>
    <t>BOLT:SOCKET HEAD CAP SCREW</t>
  </si>
  <si>
    <t>O-RING:109.2 x 5.7 B-NBR,FITS Rear Spindle MAN HY-1336 F-Axle</t>
  </si>
  <si>
    <t>CONNECTOR,TERMINAL:MALE PIN,18-20 AWG</t>
  </si>
  <si>
    <t>SHAPE: CIRCULAR, SIZE: 4"</t>
  </si>
  <si>
    <t>DRYER:Air,Graham White 700-QBA15-NX5, Twin Tower(Factory Refurbished without Mounting Bracket)Graham White OEM#700-QBA15-NX5 only</t>
  </si>
  <si>
    <t>LOCK, LUG: USED ON: WHEELS</t>
  </si>
  <si>
    <t>SENSOR, PRESSURE:</t>
  </si>
  <si>
    <t>FILTER,OIL:ENGINE,SPIN-ON,Largest OD=4.68",Overall Height=11.88",Thread Size:2-1/4 -12UNS-2B,FITS NEW FLYER CNG BUSES,CERTIFICATION VMI</t>
  </si>
  <si>
    <t>ADAPTER, CRANKSHAFT: SYSTEM: A/C COMPRESSOR, TYPE: PULLEY</t>
  </si>
  <si>
    <t>SWITCH:TURN SIGNAL,FITS COLE HERSEE 7792 ONLY</t>
  </si>
  <si>
    <t>SENSOR:COOLANT AND FUEL TEMPERATURE</t>
  </si>
  <si>
    <t>CHAMBER: BRAKE</t>
  </si>
  <si>
    <t>Latch, Cab Lock</t>
  </si>
  <si>
    <t>CONNECTOR,ELECTRICAL:SEALED BEAM STEPWELL LAMP,NEW FLX</t>
  </si>
  <si>
    <t>SENSOR:INTAKE MANIFOLD PRESSURE</t>
  </si>
  <si>
    <t>ABRASIVE,SHEET:9 IN WD,11 IN LG,MEDIUM GRIT,EMERY,CLOTH BACKING</t>
  </si>
  <si>
    <t>ADAPTER,TUBE:AIR COUPLING</t>
  </si>
  <si>
    <t>CHOCK:WHEEL, 46" DIAMETER TIRE SIZE</t>
  </si>
  <si>
    <t>SWITCH,PRESSURE:PRE-LUBE</t>
  </si>
  <si>
    <t>WIPE: TYPE: 4 PLY/NYLON REINFORCED, SIZE: 9 3/4 IN X 1500 FT, MATERIAL: PAPER, COLOR: WHITE</t>
  </si>
  <si>
    <t>COUPLING,PIPE:1/4 IN,GALV</t>
  </si>
  <si>
    <t>CONNECTOR,TERMINAL:FEMALE PIN,16-14 AWG</t>
  </si>
  <si>
    <t>SPLICE,CONDUCTOR:2 WAY,METRO FLX WEATHER-PACK CUMMINS CELECT ENGINE</t>
  </si>
  <si>
    <t>FUSE:15AMP</t>
  </si>
  <si>
    <t>LIGHT:FRONT IDENTIFICATION CLEARANCE,AMBER,WMATA FLEET NEW FLYER BUSES</t>
  </si>
  <si>
    <t>FUSE:MINI,10AMP</t>
  </si>
  <si>
    <t>VALVE:DRAIN,2300-2464,NEW FLYER AIR CLEANER</t>
  </si>
  <si>
    <t>GASKET, RUBBER / METAL: SYSTEM: ENGINE, USED ON: MANIFOLD</t>
  </si>
  <si>
    <t>SENSOR:SECONDARY PRESSURE,CUMMINS CNG ENGINE</t>
  </si>
  <si>
    <t>GASKET,TRANSMISSION:OIL PAN,B400 CASE</t>
  </si>
  <si>
    <t>SOLDER:1 LB,ROSIN CORE,0.032 IN DIA,60/40</t>
  </si>
  <si>
    <t>PAD:SPILL BLANKET,30 IN X 30 IN SQ,GRAY</t>
  </si>
  <si>
    <t>KIT:MANIFOLD BLANKET,CONTAINS (2) BLANKET,(16) CRIMP FASTENERS, 10 FT WIRE</t>
  </si>
  <si>
    <t>PLUG,PIPE:1/4 IN,HEX HD,BRASS,FITS GENERATOR, VARIOUS BUSES</t>
  </si>
  <si>
    <t>CONNECTOR,ELECTRICAL DISCONNEC:16 AWG COND,TIN PLATED BRASS</t>
  </si>
  <si>
    <t>GASKET:EGR COOLER, ISM 280 - (OEM ONLY)</t>
  </si>
  <si>
    <t>VALVE, BRAKE:</t>
  </si>
  <si>
    <t>GLASS:BODY AFT ENTRANCE,#2,7K,NEW FLYER</t>
  </si>
  <si>
    <t>VALVE, PRESSURE REGULATOR:</t>
  </si>
  <si>
    <t>PUMP: MAXFLOW: 1200 GPH, POWER: 1/6 HP, TYPE: SUBMERSIBLE UTILITY, OUTLETSIZE: 1 IN, VOLTAGE: 115 VAC</t>
  </si>
  <si>
    <t>HOSE,FUEL:PLAIN,BUS</t>
  </si>
  <si>
    <t>CLAMP:BAND, ISM - (OEM ONLY)</t>
  </si>
  <si>
    <t>HOSE,HYDRAULIC:72 IN LG,2300-2464,CNG BUSES ENGINE OIL COOLER</t>
  </si>
  <si>
    <t>GUARD:S-1, 433237 - (OEM ONLY)</t>
  </si>
  <si>
    <t>INSECTICIDE: FORM: AEROSOL, CERTIFICATION: RES-B; MSDS 670/2014, TYPE: ANT &amp; ROACH, COMMONNAME: INSECTICIDE:ROACH AND ANT,12 OZ CANS; AEROSOL SPRAY CAN;  RES-B; MSDS 670/2014</t>
  </si>
  <si>
    <t>HANDWHEEL:RECLINE, SEAT AM80</t>
  </si>
  <si>
    <t>CAP,BODY:STEERING WHEEL,2300, 2400, 2800, 5400, 6101-6217, 6301-6461,NEW FLYER BUS</t>
  </si>
  <si>
    <t>CONTACTOR:STARTER RELAY,12V COIL, 24V CONTACTS</t>
  </si>
  <si>
    <t>KIT:ALL BUSES,CONTAINS BOLT,PIVOT</t>
  </si>
  <si>
    <t>BROOM: HEADSIZE: ANY, HANDLEMATERIAL: PLASTIC, TRIMLENGTH: ANY, TYPE: ANGULAR, SIZE: ANY, HANDLESIZE: ANY, COMMONNAME: ANGULAR BROOM, ANGLE BROOM, MATERIAL: PLASTIC</t>
  </si>
  <si>
    <t>CYLINDER,DOOR:RADIATOR ACCESS</t>
  </si>
  <si>
    <t>SEAL:CABLE,18 AWG WIRE</t>
  </si>
  <si>
    <t>DRYER:Air, Graham White QBA15-NX5,Twin Tower(New with Factory Mounting Bracket)Graham White OEM#QBA15-NX5 only</t>
  </si>
  <si>
    <t>SEAL:ORING CUMMINS</t>
  </si>
  <si>
    <t>CLAMP:DUAL TIE,0.5 IN WD X 19.2 IN LG X 25 IN STUD,BLACK</t>
  </si>
  <si>
    <t>BUSHING,PIPE:1 IN X 3/4 IN</t>
  </si>
  <si>
    <t>LIGHT,EXTENSION:FLUORESCENT,110VAC,25 FT CORD LG</t>
  </si>
  <si>
    <t>SENSOR, LEVEL: SYSTEM: COOLING</t>
  </si>
  <si>
    <t>LIGHT:REAR IDENTIFICATION CLEARANCE,RED,WMATA FLEET, ALL NEW FLYER BUSES</t>
  </si>
  <si>
    <t>COUPLER:FITS RADIATOR TESTER,CERTIFICATION VMI</t>
  </si>
  <si>
    <t>ASSEMBLY, DRIVESHAFT:</t>
  </si>
  <si>
    <t>SENSOR, TEMPERATURE:</t>
  </si>
  <si>
    <t>VALVE, PNEUMATIC: CRACK PRESSURE: 0 PSI, DELIVERY PORT(S): 3/8 FNPT, MODEL: QUICK RELEASE (QR), SUPPLY PORT: 3/8 FNPT</t>
  </si>
  <si>
    <t>HOSE,BRAKE:</t>
  </si>
  <si>
    <t>VALVE,MAGNETIC:2300-2499,NEW FLYER CYLINDER DOOR ENTRY</t>
  </si>
  <si>
    <t>SENSOR,PROXIMITY:3700, 5400, 6300-6400,WMATA BUS SR1263, SR1264, SR1265, SR1355</t>
  </si>
  <si>
    <t>LOCK:M12 SCREW</t>
  </si>
  <si>
    <t>CAP, DUST: CAP: ENGINE, DUST</t>
  </si>
  <si>
    <t>WASHER,SPRING:WINDSHIELD WIPER,5/16 IN ID,METRO FLX</t>
  </si>
  <si>
    <t>SENSOR:TEMPERATURE,8.3G PLUS</t>
  </si>
  <si>
    <t>VALVE:ORION V DRAIN SYSTEM</t>
  </si>
  <si>
    <t>SWITCH:DRIVERS FOOT CONTROL,2300, 2400, 2800, 3700, 5400, 6K,NEW FLYER BUS</t>
  </si>
  <si>
    <t>HEAD:MOP,COTTON</t>
  </si>
  <si>
    <t>FILTER,FUEL:SPIN-ON, Largest OD=3.686",Overall Height=6.912",Thread Size: 13/16-12 UNS-2B,CERTIFICATION VMI</t>
  </si>
  <si>
    <t>ASSEMBLY, RADIATOR: RADIATOR ACCESS DOOR</t>
  </si>
  <si>
    <t>SPLICE,CONDUCTOR:2-WAY,4200,TRANSMISSION RETARTER SOLENOID ON ORION</t>
  </si>
  <si>
    <t>HOSE, HEATER: FITS: DEFROSTER ASSEMBLY, SHAPE: ELBOW, SIZE: 5/8 INCH</t>
  </si>
  <si>
    <t>TUBE, OIL FILL: ENGINE</t>
  </si>
  <si>
    <t>CONNECTOR,TERMINAL:10-12 AWG,3/8 IN HOLE TERMINATION</t>
  </si>
  <si>
    <t>SEAL,BODY:STEPWELL LAMP,FITS FLX 9200</t>
  </si>
  <si>
    <t>CONNECTOR,TERMINAL:16-14 AWG</t>
  </si>
  <si>
    <t>FLUX:SOLDER,LIQUID,2 OZ BOTTLE</t>
  </si>
  <si>
    <t>CHISEL:POWER COLD,RIVET GUN</t>
  </si>
  <si>
    <t>COIL:HVAC Electrical Clutch, 24 Volts, Diameter=7",CERTIFICATION VMI</t>
  </si>
  <si>
    <t>CLAMP:BAND</t>
  </si>
  <si>
    <t>STUD,WHEEL</t>
  </si>
  <si>
    <t>HOSE: TRANSMISSION</t>
  </si>
  <si>
    <t>TANK:SURGE,ORION VII</t>
  </si>
  <si>
    <t>HOSE:ASSY- HYDRAULIC,0.19" ID, 0.52" OD, OVERALL LENGTH 52",3000 PSI MAX OPER PRESSURE,MADE FROM AEROQUIP FC300-04 HOSE PLUS 4411-4S FITTINGS,SAE 100R5, HIGH TEMP.,FITS CNG BUSES 2300-2464</t>
  </si>
  <si>
    <t>ASSEMBLY, TRANSCOOLER:</t>
  </si>
  <si>
    <t>HOSE:EGR CROSSOVER TUBE ISL</t>
  </si>
  <si>
    <t>SCREW,MACHINE:1/4 IN DIA,20 TPI,1-1/2 IN LG,OVAL PHILLIPS HD,CHROME</t>
  </si>
  <si>
    <t>HOSE:FUEL PLAIN</t>
  </si>
  <si>
    <t>CLEANER, GENERAL: TYPE: CONTACT AND COUPLER PIN</t>
  </si>
  <si>
    <t>HOSE:HOSE HYD., POWER PACK C1</t>
  </si>
  <si>
    <t>ASSEMBLY:ELECTRONIC TREADLE,9700,METRO FLX WITH CUMMINS ENGINE, ORION VII, NEW FLYER SR 759 AND SR 814</t>
  </si>
  <si>
    <t>BATTERY, DRYCELL: TYPE: ALKALINE, SIZE: AA, COMMONNAME: Battery, AA Alkaline</t>
  </si>
  <si>
    <t>ASSEMBLY, DIFFERENTIAL: 4.56 RATIO</t>
  </si>
  <si>
    <t>HUB:COMPRESSOR ARMATURE ASSEMBLY, Diameter=127mm, Height=56.8mm,CERTIFICATION VMI</t>
  </si>
  <si>
    <t>GASKET,RADIATOR:FILLER CAP,RUBBER,3900-4400,SURGE TANK ORION V</t>
  </si>
  <si>
    <t>CONNECTOR,TERMINAL:SOLDERING LUG,COPPER CONNECTOR</t>
  </si>
  <si>
    <t>SPACER:WINDSHIELD WIPER ASSEMBLY</t>
  </si>
  <si>
    <t>CONNECTOR:3/8 IN X 1/4 IN</t>
  </si>
  <si>
    <t>STARTER,AUTOMOTIVE:24V</t>
  </si>
  <si>
    <t>WIRE:GROUND ASSEMBLY,NEW FLYER</t>
  </si>
  <si>
    <t>SWITCH,DISCONNECT:BATTERY,FITS NEW FLYER BUSES 3700, 5400,6301-6461</t>
  </si>
  <si>
    <t>KEY:T-HANDLE,BUS COMPARTMENT DOORS,FLEET 2300, 2400, 2800, 3700, 5400, 6K,FITS NEW FLYER BUS</t>
  </si>
  <si>
    <t>SWITCH:SNAP ACTION,2300-2464,NEW FLYER</t>
  </si>
  <si>
    <t>KIT, EGR COOLER:</t>
  </si>
  <si>
    <t>CAP:ENGINE,DUST,CNG FILL RECEPTACLE</t>
  </si>
  <si>
    <t>ADJUSTER, SLACK</t>
  </si>
  <si>
    <t>GROMMET:AIR COMPRESSOR,COOLANT LINE-CUMMINS 8.3</t>
  </si>
  <si>
    <t>KIT, STRAP: INCLUDES: BOLT, USED ON: UNIVERSAL JOINT</t>
  </si>
  <si>
    <t>VALVE:DRAIN HYDRAULIC RESERVOIR OIL SAMPLING,3700, 5400, 6301-6461, 6424-6447,NEW FLYER BUS</t>
  </si>
  <si>
    <t>CONNECTOR:J939, TEE - (OEM ONLY)</t>
  </si>
  <si>
    <t>SCREEN:ASSEMBLY RADIATOR DOOR - (OEM ONLY)</t>
  </si>
  <si>
    <t>KIT:COMPRESSOR,FLYWHEEL BEARING,FLX, GILLIG</t>
  </si>
  <si>
    <t>SCREW:CAP, TORX SOCKET HEAD- (OEM ONLY)</t>
  </si>
  <si>
    <t>CONNECTOR:STEPWELL LAMP,FITS NEW FLX</t>
  </si>
  <si>
    <t>FENDER:POLYURETHANE</t>
  </si>
  <si>
    <t>KIT:HORN,BRUSH,ORION</t>
  </si>
  <si>
    <t>SELECTOR, SHIFT: TYPE: PUSH BUTTON, USED ON: ALLISON TRANSMISSION</t>
  </si>
  <si>
    <t>ACTUATOR:TREADLE ASSY, ACTUATOR, THROTTLE</t>
  </si>
  <si>
    <t>BUSHING,PIPE:3/8 IN X 1/4 IN,BLACK</t>
  </si>
  <si>
    <t>ANCHOR:BATTERY HOLD DOWN,3700, 5400, 6301-6461, 6424-6447,NEW FLYER WMATA BUS</t>
  </si>
  <si>
    <t>ASSEMBLY:WASTEGATE,TURBO-CUMMINS 8.3G PLUS</t>
  </si>
  <si>
    <t>KNOB:MASTER SWITCH POINTER,METRO FLX MCI</t>
  </si>
  <si>
    <t>SENSOR: EGR;DIFF PRESSURE</t>
  </si>
  <si>
    <t>LAMP:LOW BEAM,ALL NEW FLYER COACHES</t>
  </si>
  <si>
    <t>COCK:DRAIN</t>
  </si>
  <si>
    <t>LAMP:MARKER, AMBER - (OEM ONLY)</t>
  </si>
  <si>
    <t>SENSOR:VARIOUS ORION VII AND NEW FLYER BUSES</t>
  </si>
  <si>
    <t>COUPLER,HOSE:HUMP,4</t>
  </si>
  <si>
    <t>SLEEVE:BRAKE SENSOR ASSEMBLY,ABS</t>
  </si>
  <si>
    <t>ASSEMBLY, PUMP: INCLUDES: RESERVOIR AND MOTOR, SYSTEM: WHEELCHAIR, TYPE: HYDRAULIC</t>
  </si>
  <si>
    <t>SOLENOID:FUEL TANK CNG</t>
  </si>
  <si>
    <t>BLADE:SINGLE EDGE INDUSTRIAL RAZOR,0.012 IN THK,SURGICAL CARBON STEEL</t>
  </si>
  <si>
    <t>Backing Plate, Latch</t>
  </si>
  <si>
    <t>LATCH:</t>
  </si>
  <si>
    <t>CAP,RADIATOR:ASSEMBLY,1096, 1263, 1355, 1265</t>
  </si>
  <si>
    <t>LATCH:PADDLE, LOCK</t>
  </si>
  <si>
    <t>ADAPTER,TUBE TO PIPE:3/8" TUBE,MALE PUSH LOCK,1/4" PIPE,MPT,CERTIFICATION VMI</t>
  </si>
  <si>
    <t>COUPLER:QUICK COUPLING MALE NIPPLE,Body Size=1/8",Port Size=1/8"-27,Temp-Range:-40 Deg. F to 250 Deg.F, Pressure Rating=6000PSI,Flow Rate=0.8GPM,STEEL,CERTIFICATION VMI</t>
  </si>
  <si>
    <t>SWITCH, JOYSTICK: SIDE: CS, USED ON: SIDE VIEW MIRROR CONTROL</t>
  </si>
  <si>
    <t>LIGHT, INDICATOR: COLOR: GREEN, USED ON: CALL POLICE LIGHT, VOLTAGE: 24</t>
  </si>
  <si>
    <t>GASKET:WATER PUMP HOUSING</t>
  </si>
  <si>
    <t>CLAMP:HOSE GEAR RANGE .22</t>
  </si>
  <si>
    <t>GAUGE, PRESSURE:</t>
  </si>
  <si>
    <t>LIGHT,LIGHT EMITTING DIODE:GREEN,759, 814, 1060,NEW FLYER REAR EXIT DOOR</t>
  </si>
  <si>
    <t>SWITCH:SWITCH, WIPER</t>
  </si>
  <si>
    <t>COUPLING,PIPE:1/8 IN,GMC</t>
  </si>
  <si>
    <t>GEARBOX:POWER STEERING ASSEMBLY</t>
  </si>
  <si>
    <t>COUPLING,PIPE:3/8 IN X 1/4 IN,DOUBLE FEMALE END,GALV</t>
  </si>
  <si>
    <t>TRIGGER:FOR SPRAY BOTTLE</t>
  </si>
  <si>
    <t>LIGHT:STOP REAR CENTER,RED,28, 2300-2464,NEW FLYER CNG, ALL NEW FLYER BUSES</t>
  </si>
  <si>
    <t>COMPOUND, SEALING: FITS: NOCO BATTERY, TYPE: CORROSIVE PREVENTIVE</t>
  </si>
  <si>
    <t>BLANKET, EXHAUST: EXHAUST BLANKET KIT</t>
  </si>
  <si>
    <t>HANDLE:MOP</t>
  </si>
  <si>
    <t>COVERALL: TYPE: TOXIC RESISTANT, SIZE: X-LARGE, COLOR: ANY, MATERIAL: MICROPOROUS</t>
  </si>
  <si>
    <t>VALVE,CHECK:AIR SUSPENSION NABI BRT FLEET</t>
  </si>
  <si>
    <t>CYLINDER, DOOR: CYLINDER, DOOR: PROP</t>
  </si>
  <si>
    <t>CLAMP,CUSHION:1-1/8 IN ID X 3/4 IN WD X 3/8 IN HOLE</t>
  </si>
  <si>
    <t>VOLTMETER:</t>
  </si>
  <si>
    <t>HARNESS:DRIVE UNIT</t>
  </si>
  <si>
    <t>CHISEL,POWER:EDGE AND CUTTER,RIVET GUN</t>
  </si>
  <si>
    <t>BRUSH,WIRE:END</t>
  </si>
  <si>
    <t>CLAMP:OUTLET TO AIR CHARGE COOLER,50 SERIES TURBO</t>
  </si>
  <si>
    <t>SCREW,MACHINE:M18 DIA,1.5MM,60MM LG,TORX HD</t>
  </si>
  <si>
    <t>CHISEL: LENGTH: 7-1/2 IN, BLADEWIDTH: 7/8 IN, CERTIFICATION: NONE, TYPE: COLD FLAT, SIZE: 3/4 IN, COMMONNAME: Cold Hand Chisel, 7/8 In. x 7-1/2 In., MATERIAL: CS</t>
  </si>
  <si>
    <t>SEAL, TRANSMISSION: SEAL, FILL TUBE</t>
  </si>
  <si>
    <t>CYLINDER:ASSEMBLY 60LBS</t>
  </si>
  <si>
    <t>SEAL,TRANSMISSION:DIP STICK TUBE,B400 ORION V'S</t>
  </si>
  <si>
    <t>MODULE, E-STROKE: CONFIGURATION: GEN2, USED ON: DRUM BRAKES</t>
  </si>
  <si>
    <t>SEAL:GROMMET, ISM - (OEM ONLY)</t>
  </si>
  <si>
    <t>MODULE, E-STROKE: CONFIGURATION: GEN3, USED ON: DISC BRAKES</t>
  </si>
  <si>
    <t>SEAL:RING,ORION VII</t>
  </si>
  <si>
    <t>ASSEMBLY, TRANSMISSION: CONFIGURATION: GEN4, INCLUDES: 1/2 ROUND YOKE, MODEL: B400R</t>
  </si>
  <si>
    <t>ASSEMBLY, WINDOW: LOCATION: DRIVER, SIDE: SS, TYPE: FLUSH</t>
  </si>
  <si>
    <t>MOTOR:ORION VII FRONT DOOR PNEUMATIC OPERATOR</t>
  </si>
  <si>
    <t>BUSHING,PIPE:3/8 IN X 1/2 IN,BLACK</t>
  </si>
  <si>
    <t>MOUNT, ENGIINE: LOCATION: REAR</t>
  </si>
  <si>
    <t>CLEANER, GLASS</t>
  </si>
  <si>
    <t>NIPPLE,PIPE:</t>
  </si>
  <si>
    <t>SENSOR, TRANSMISSION:</t>
  </si>
  <si>
    <t>NIPPLE,PIPE:CLOSE,3/8 IN,BLACK</t>
  </si>
  <si>
    <t>FITTING,GREASE:ZERK BALL,STRAIGHT</t>
  </si>
  <si>
    <t>NOZZLE: NOZZLE: WINDSHIELD WIPER ASSEMBLY</t>
  </si>
  <si>
    <t>SENSOR,TRANSMISSION:TEMPERATURE</t>
  </si>
  <si>
    <t>ASSEMBLY, VALVE: LOCATION: FRONT, TYPE: AIR, USED FOR: KNEELING</t>
  </si>
  <si>
    <t>CLEANER: BLEACH</t>
  </si>
  <si>
    <t>NUT, HEX: DIAMETER: 10 MM</t>
  </si>
  <si>
    <t>FUSE:30AMP,ATO</t>
  </si>
  <si>
    <t>NUT, STANCHION, ALLEN SOCKET HEAD, NEW FLYER, 6000, 6100, 6300 6300</t>
  </si>
  <si>
    <t>GASKET, ENGINE</t>
  </si>
  <si>
    <t>NUT:CLIP,1/4 IN DIA,20 TPI,FLX WHEELCHAIR PLATFORM</t>
  </si>
  <si>
    <t>AXLE:FRONT, LINK ASSEMBLY, LEVELING VALVE</t>
  </si>
  <si>
    <t>BOLT,MACHINE</t>
  </si>
  <si>
    <t>ADAPTER,TUBE TO PIPE:1/2 IN TUBE,3/8 IN PIPE,MALE,BRASS</t>
  </si>
  <si>
    <t>DISPLAY:LED</t>
  </si>
  <si>
    <t>SIGNAL:TURN,AMBER</t>
  </si>
  <si>
    <t>NUT:WELL,#10 DIA,32 TPI,RUBBER,SP METRO FLX</t>
  </si>
  <si>
    <t>SNUBBER, HVAC</t>
  </si>
  <si>
    <t>OPERATOR,SWITCH:LARGE MUSHROOM BUTTON,YELLOW,VARIOUS BUSES</t>
  </si>
  <si>
    <t>SOLENOID:12V COIL,2300, 2400, 2800, 3700, 5400, 6K,NEW FLYER BUSES KNEEL</t>
  </si>
  <si>
    <t>DOOR, CYLINDER: USED ON: 6101-6205</t>
  </si>
  <si>
    <t>SOLENOID:MOTOR,FITS VARIOUS BUSES</t>
  </si>
  <si>
    <t>PAD, CLEANING: TYPE: SCRUB</t>
  </si>
  <si>
    <t>SPLICE,CONDUCTOR:14-16 AWG COND</t>
  </si>
  <si>
    <t>DOWEL:9/16 IN ID,AXLE</t>
  </si>
  <si>
    <t>BARRIER:EXHAUST,HEAT,10 SQ FT,ALUMINIUM,METRO FLX</t>
  </si>
  <si>
    <t>PAINT:PREPARATION SYSTEM KIT</t>
  </si>
  <si>
    <t>SPLICE,CONDUCTOR:2-WAY,CUMMINS CELECT</t>
  </si>
  <si>
    <t>PANEL,BODY:REAR DOOR EMERGENCY RELEASE,FRANGIBLE</t>
  </si>
  <si>
    <t>CAP,RADIATOR:PRESSURE ASSEMBLY,2300-2464,WMATA NEW FLYER CNG</t>
  </si>
  <si>
    <t>PIN,BRAKE:PUSH ROD,THE ORION VI LOW FLOOR</t>
  </si>
  <si>
    <t>COMPOUND, SEALING</t>
  </si>
  <si>
    <t>PIPE,EXHAUST:FLEX,6100</t>
  </si>
  <si>
    <t>STRAP,WHEELCHAIR:PULL RAMP,BLACK POLY</t>
  </si>
  <si>
    <t>PIVOT,DOOR:REAR LOWER</t>
  </si>
  <si>
    <t>GASKET:OIL SEAL RETAINER,ORION VARIOUS REAR WHEEL HOUSING</t>
  </si>
  <si>
    <t>PLUG,PIPE:</t>
  </si>
  <si>
    <t>SWITCH, PRESSURE: PARKING BRAKE LIGHT 60 PSI</t>
  </si>
  <si>
    <t>PLUG,PIPE:1/4 IN,BLACK</t>
  </si>
  <si>
    <t>SWITCH,PRESSURE:1/8 MPT,6 PSI,SPDT</t>
  </si>
  <si>
    <t>DRYER,HVAC:AIR CONDITIONER,5/8 IN INLET X 1/2 IN OUTLET,4001-4104,FLX</t>
  </si>
  <si>
    <t>SWITCH,TOGGLE:SPST,MAINTAINED ON/OFF,2400, 2300 2800, 3700, 5400, 6K,NEW FLYER BUS</t>
  </si>
  <si>
    <t>CLAMP:T-BOLT,4.5 IN,2300-2464,CNG BUSES</t>
  </si>
  <si>
    <t>SWITCH:INSTRUMENT PANEL,2300, 2400, 2800, 3700, 5400, 6K,NEW FLYER BUS</t>
  </si>
  <si>
    <t>CLAMP:WEDGE,3/4 IN ID</t>
  </si>
  <si>
    <t>SWITCH:REAR ENGINE CONTROL</t>
  </si>
  <si>
    <t>PULLEY:ENGINE,IDLER,NEW FLYER FLEET 8.3G PLUS</t>
  </si>
  <si>
    <t>SWITCH:SPDT,WHEELCHAIR</t>
  </si>
  <si>
    <t>PULLEY:ENGINE,SHAFT IDLER,CUMMINS3.3G PLUS</t>
  </si>
  <si>
    <t>GAUGE,PRESSURE:OIL,LIQUID FILLED,ENGINE GMC 5301-2-4</t>
  </si>
  <si>
    <t>PUMP, WINDSHIELD WASHER</t>
  </si>
  <si>
    <t>TAP,THREADING:HELICOIL,3/8 IN DIA,16 TPI</t>
  </si>
  <si>
    <t>PUMP,WINDSHIELD WASHER:FLUID,24V</t>
  </si>
  <si>
    <t>GLASS, WINDSHIELD:</t>
  </si>
  <si>
    <t>ELBOW,TUBE:3/8 IN X 1/8 IN,PUSH LOCK X MPT,90 DEG</t>
  </si>
  <si>
    <t>TOWEL, C-FOLD</t>
  </si>
  <si>
    <t>PUMP:WHEELCHAIR 24 VDC, RAMP - (OEM ONLY)</t>
  </si>
  <si>
    <t>TUBE, EXHAUST: TUBE, EXHAUST TURBO, ISL</t>
  </si>
  <si>
    <t>PUNCH:SOLID RIVET GUN</t>
  </si>
  <si>
    <t>TUBE:OIL</t>
  </si>
  <si>
    <t>Rear Mudflap Apron For XCELSIOR</t>
  </si>
  <si>
    <t>COMPOUND,SEALING:PIPE</t>
  </si>
  <si>
    <t>ELBOW,TUBE:SWIVEL,3/8 IN X 1/4 IN,PUSH LOCK X MPT,45 DEG</t>
  </si>
  <si>
    <t>COMPOUND,SEALING:SILICONE SEALANT,WHITE,TUBE</t>
  </si>
  <si>
    <t>ELBOW:TUBE to PIPE, SWIVEL,1/2",PUSH LOCK X MPT,90 DEG,CERTIFICATION VMI</t>
  </si>
  <si>
    <t>CHIME:PASSENGER ASSEMBLY</t>
  </si>
  <si>
    <t>BOTTLE, BOTTLE_22_OZ:</t>
  </si>
  <si>
    <t>VALVE, SOLENOID: TRANSMISSION</t>
  </si>
  <si>
    <t>REGULATOR,PRESSURE:AIR,0-125 PSI, 300 PSI MAX IN,1/4 IN NPT INPUT/OUTPUT PORTS, 1/8 IN NPT GAUGE PORT,BRASS BODY</t>
  </si>
  <si>
    <t>HARNESS, WIRE: SYSTEM: CHARGING, USED FOR: FUSE BOX TO ALTERNATOR</t>
  </si>
  <si>
    <t>ELEMENT, FILTER: USED FOR: POWER STEERING RESERVOIR</t>
  </si>
  <si>
    <t>VALVE:DRAIN,18MM X 1.5MM,ENGINE OIL PAN</t>
  </si>
  <si>
    <t>CLEANER, DEGREASER: FORM: CITRUS-BASED AEROSOL</t>
  </si>
  <si>
    <t>HARNESS,WIRING:</t>
  </si>
  <si>
    <t>EXTINGUISHER:FIRE,DRY CHEMICAL,5 LB CAPACITY,2A 10B</t>
  </si>
  <si>
    <t>VALVE:PUSH TO DISPENSE,1/4 IN,NPT,KNURLED CAP,ZINC PLATED STEEL BODY</t>
  </si>
  <si>
    <t>REST:HEAD/SEAT,DRIVER SEAT</t>
  </si>
  <si>
    <t>BRUSH,WIRE:13 IN LG,13.75 IN CURVED HANDLE</t>
  </si>
  <si>
    <t>MAGNET:-FILTER, MAIN CONTROL</t>
  </si>
  <si>
    <t>WATER:CPR OUTLET TUBE</t>
  </si>
  <si>
    <t>MEDICATION,EXTERNAL:VASELINE PETROLEUM JELLY,13 OZ</t>
  </si>
  <si>
    <t>CHISEL: LENGTH: 12 IN, BLADEWIDTH: 9/16 IN, CERTIFICATION: NONE, TYPE: COLD FLAT, COMMONNAME: C-20 - Chisel Cold Blade Width (Inch): 9/16, MATERIAL: CS</t>
  </si>
  <si>
    <t>BLANKET, EXHAUST: USED ON: FLEX PIPE</t>
  </si>
  <si>
    <t>BLOWER, FAN:</t>
  </si>
  <si>
    <t>JOINT,UNIVERSAL:ORION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</si>
</sst>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dd\-mmm\-yy"/>
    <numFmt numFmtId="165" formatCode="mm/yyyy"/>
    <numFmt numFmtId="166" formatCode="_(* #,##0_);_(* \(#,##0\);_(* &quot;-&quot;??_);_(@_)"/>
    <numFmt numFmtId="167" formatCode="_(* #,##0.0000_);_(* \(#,##0.0000\);_(* &quot;-&quot;??_);_(@_)"/>
  </numFmts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vertAlign val="superscript"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  <xf numFmtId="0" fontId="3" fillId="0" borderId="0"/>
    <xf numFmtId="0" fontId="8" fillId="0" borderId="0"/>
    <xf numFmtId="0" fontId="3" fillId="0" borderId="0"/>
    <xf numFmtId="0" fontId="9" fillId="0" borderId="0"/>
    <xf numFmtId="0" fontId="11" fillId="0" borderId="0" applyAlignment="0"/>
  </cellStyleXfs>
  <cellXfs count="36">
    <xf numFmtId="0" fontId="0" fillId="0" borderId="0" xfId="0"/>
    <xf numFmtId="166" fontId="0" fillId="0" borderId="0" xfId="1" applyNumberFormat="1" applyFont="1"/>
    <xf numFmtId="166" fontId="0" fillId="0" borderId="0" xfId="0" applyNumberFormat="1"/>
    <xf numFmtId="166" fontId="4" fillId="0" borderId="0" xfId="1" applyNumberFormat="1" applyFont="1" applyAlignment="1">
      <alignment horizontal="center" vertical="center" readingOrder="1"/>
    </xf>
    <xf numFmtId="0" fontId="0" fillId="3" borderId="0" xfId="0" applyFill="1"/>
    <xf numFmtId="166" fontId="0" fillId="3" borderId="0" xfId="1" applyNumberFormat="1" applyFont="1" applyFill="1"/>
    <xf numFmtId="0" fontId="1" fillId="0" borderId="0" xfId="0" applyFont="1"/>
    <xf numFmtId="0" fontId="2" fillId="2" borderId="5" xfId="2" applyFont="1" applyFill="1" applyBorder="1" applyAlignment="1">
      <alignment horizontal="center"/>
    </xf>
    <xf numFmtId="166" fontId="0" fillId="0" borderId="0" xfId="1" applyNumberFormat="1" applyFont="1" applyFill="1"/>
    <xf numFmtId="166" fontId="2" fillId="2" borderId="5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readingOrder="1"/>
    </xf>
    <xf numFmtId="167" fontId="0" fillId="0" borderId="0" xfId="0" applyNumberFormat="1"/>
    <xf numFmtId="17" fontId="0" fillId="0" borderId="0" xfId="0" applyNumberFormat="1"/>
    <xf numFmtId="0" fontId="2" fillId="2" borderId="1" xfId="4" applyFont="1" applyFill="1" applyBorder="1" applyAlignment="1">
      <alignment horizontal="center"/>
    </xf>
    <xf numFmtId="164" fontId="2" fillId="0" borderId="2" xfId="4" applyNumberFormat="1" applyFont="1" applyBorder="1" applyAlignment="1">
      <alignment horizontal="right" wrapText="1"/>
    </xf>
    <xf numFmtId="0" fontId="2" fillId="0" borderId="2" xfId="4" applyFont="1" applyBorder="1" applyAlignment="1">
      <alignment horizontal="right" wrapText="1"/>
    </xf>
    <xf numFmtId="165" fontId="2" fillId="0" borderId="2" xfId="4" applyNumberFormat="1" applyFont="1" applyBorder="1" applyAlignment="1">
      <alignment horizontal="right" wrapText="1"/>
    </xf>
    <xf numFmtId="0" fontId="2" fillId="0" borderId="0" xfId="6" applyFont="1" applyAlignment="1">
      <alignment horizontal="center"/>
    </xf>
    <xf numFmtId="164" fontId="2" fillId="0" borderId="0" xfId="6" applyNumberFormat="1" applyFont="1" applyAlignment="1">
      <alignment horizontal="right" wrapText="1"/>
    </xf>
    <xf numFmtId="0" fontId="2" fillId="0" borderId="0" xfId="6" applyFont="1" applyAlignment="1">
      <alignment horizontal="right" wrapText="1"/>
    </xf>
    <xf numFmtId="0" fontId="2" fillId="0" borderId="0" xfId="4" applyFont="1" applyAlignment="1">
      <alignment horizontal="center"/>
    </xf>
    <xf numFmtId="0" fontId="0" fillId="4" borderId="6" xfId="0" applyFill="1" applyBorder="1"/>
    <xf numFmtId="0" fontId="0" fillId="5" borderId="6" xfId="0" applyFill="1" applyBorder="1"/>
    <xf numFmtId="0" fontId="12" fillId="7" borderId="7" xfId="0" applyFont="1" applyFill="1" applyBorder="1"/>
    <xf numFmtId="0" fontId="12" fillId="7" borderId="8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0" fillId="6" borderId="0" xfId="0" applyFont="1" applyFill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0" borderId="0" xfId="3" applyFont="1" applyAlignment="1">
      <alignment horizontal="center"/>
    </xf>
    <xf numFmtId="0" fontId="2" fillId="0" borderId="0" xfId="5" applyFont="1" applyAlignment="1">
      <alignment horizontal="center"/>
    </xf>
    <xf numFmtId="164" fontId="2" fillId="0" borderId="0" xfId="5" applyNumberFormat="1" applyFont="1" applyAlignment="1">
      <alignment horizontal="right" wrapText="1"/>
    </xf>
    <xf numFmtId="0" fontId="2" fillId="0" borderId="0" xfId="5" applyFont="1" applyAlignment="1">
      <alignment horizontal="right" wrapText="1"/>
    </xf>
    <xf numFmtId="0" fontId="2" fillId="0" borderId="2" xfId="5" applyFont="1" applyBorder="1" applyAlignment="1">
      <alignment horizontal="right" wrapText="1"/>
    </xf>
    <xf numFmtId="0" fontId="2" fillId="0" borderId="3" xfId="5" applyFont="1" applyBorder="1" applyAlignment="1">
      <alignment horizontal="right" wrapText="1"/>
    </xf>
  </cellXfs>
  <cellStyles count="9">
    <cellStyle name="Comma" xfId="1" builtinId="3"/>
    <cellStyle name="Normal" xfId="0" builtinId="0"/>
    <cellStyle name="Normal 2" xfId="7" xr:uid="{EE155DE3-DBB3-41FF-A846-B30C5B92D3B3}"/>
    <cellStyle name="Normal 3" xfId="8" xr:uid="{278B43B0-03C4-41EC-9428-E8F9A9F7F5D4}"/>
    <cellStyle name="Normal_flt 27 6000's" xfId="3" xr:uid="{00000000-0005-0000-0000-000009000000}"/>
    <cellStyle name="Normal_flt 37 NF Hyb" xfId="4" xr:uid="{00000000-0005-0000-0000-00000A000000}"/>
    <cellStyle name="Normal_flt 37 NF Hyb_2" xfId="5" xr:uid="{88527C49-A2D9-423B-AD2A-EC0E8C364845}"/>
    <cellStyle name="Normal_Flt 43 NF Hybrid" xfId="6" xr:uid="{A2592956-8D86-494F-B0AE-09D9442923CE}"/>
    <cellStyle name="Normal_NF CNG 01-02" xfId="2" xr:uid="{00000000-0005-0000-0000-00000D000000}"/>
  </cellStyles>
  <dxfs count="7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theme="4" tint="0.79998168889431442"/>
          <bgColor rgb="FFFFC00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Invisible" pivot="0" table="0" count="0" xr9:uid="{F8DED7B7-9BC1-4F11-9290-9FAAB2634DD8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2000"/>
            </a:pPr>
            <a:r>
              <a:rPr lang="en-US" sz="2000"/>
              <a:t>Fleet 55</a:t>
            </a:r>
          </a:p>
        </c:rich>
      </c:tx>
      <c:layout>
        <c:manualLayout>
          <c:xMode val="edge"/>
          <c:yMode val="edge"/>
          <c:x val="0.48468085387420096"/>
          <c:y val="2.91794136705480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412612491161505E-2"/>
          <c:y val="0.12526295809033847"/>
          <c:w val="0.83006272644343004"/>
          <c:h val="0.68220760434870831"/>
        </c:manualLayout>
      </c:layout>
      <c:scatterChart>
        <c:scatterStyle val="lineMarker"/>
        <c:varyColors val="0"/>
        <c:ser>
          <c:idx val="1"/>
          <c:order val="0"/>
          <c:tx>
            <c:v>postRehabMDBFScatterPlot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FLEET_55_PRE_REHAB_PERFORMANCE!$A$27:$A$103</c:f>
              <c:numCache>
                <c:formatCode>mm/yyyy</c:formatCode>
                <c:ptCount val="77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  <c:pt idx="60">
                  <c:v>44774</c:v>
                </c:pt>
                <c:pt idx="61">
                  <c:v>44805</c:v>
                </c:pt>
                <c:pt idx="62">
                  <c:v>44835</c:v>
                </c:pt>
                <c:pt idx="63">
                  <c:v>44866</c:v>
                </c:pt>
                <c:pt idx="64">
                  <c:v>44896</c:v>
                </c:pt>
              </c:numCache>
            </c:numRef>
          </c:xVal>
          <c:yVal>
            <c:numRef>
              <c:f>FLEET_55_PRE_REHAB_PERFORMANCE!$E$27:$E$103</c:f>
              <c:numCache>
                <c:formatCode>_(* #,##0_);_(* \(#,##0\);_(* "-"??_);_(@_)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6-4D1E-9034-1734BBEF63B9}"/>
            </c:ext>
          </c:extLst>
        </c:ser>
        <c:ser>
          <c:idx val="2"/>
          <c:order val="1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noFill/>
              </a:ln>
            </c:spPr>
          </c:marker>
          <c:trendline>
            <c:spPr>
              <a:ln w="41275">
                <a:solidFill>
                  <a:schemeClr val="tx2">
                    <a:alpha val="77000"/>
                  </a:schemeClr>
                </a:solidFill>
                <a:tailEnd type="triangle"/>
              </a:ln>
            </c:spPr>
            <c:trendlineType val="linear"/>
            <c:dispRSqr val="0"/>
            <c:dispEq val="1"/>
            <c:trendlineLbl>
              <c:layout>
                <c:manualLayout>
                  <c:x val="-0.38892998111981952"/>
                  <c:y val="0.12685098277927229"/>
                </c:manualLayout>
              </c:layout>
              <c:numFmt formatCode="General" sourceLinked="0"/>
            </c:trendlineLbl>
          </c:trendline>
          <c:xVal>
            <c:numRef>
              <c:f>FLEET_55_PRE_REHAB_PERFORMANCE!$A$7:$A$91</c:f>
              <c:numCache>
                <c:formatCode>mm/yyyy</c:formatCode>
                <c:ptCount val="8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  <c:pt idx="25">
                  <c:v>43101</c:v>
                </c:pt>
                <c:pt idx="26">
                  <c:v>43132</c:v>
                </c:pt>
                <c:pt idx="27">
                  <c:v>43160</c:v>
                </c:pt>
                <c:pt idx="28">
                  <c:v>43191</c:v>
                </c:pt>
                <c:pt idx="29">
                  <c:v>43221</c:v>
                </c:pt>
                <c:pt idx="30">
                  <c:v>43252</c:v>
                </c:pt>
                <c:pt idx="31">
                  <c:v>43282</c:v>
                </c:pt>
                <c:pt idx="32">
                  <c:v>43313</c:v>
                </c:pt>
                <c:pt idx="33">
                  <c:v>43344</c:v>
                </c:pt>
                <c:pt idx="34">
                  <c:v>43374</c:v>
                </c:pt>
                <c:pt idx="35">
                  <c:v>43405</c:v>
                </c:pt>
                <c:pt idx="36">
                  <c:v>43435</c:v>
                </c:pt>
                <c:pt idx="37">
                  <c:v>43466</c:v>
                </c:pt>
                <c:pt idx="38">
                  <c:v>43497</c:v>
                </c:pt>
                <c:pt idx="39">
                  <c:v>43525</c:v>
                </c:pt>
                <c:pt idx="40">
                  <c:v>43556</c:v>
                </c:pt>
                <c:pt idx="41">
                  <c:v>43586</c:v>
                </c:pt>
                <c:pt idx="42">
                  <c:v>43617</c:v>
                </c:pt>
                <c:pt idx="43">
                  <c:v>43647</c:v>
                </c:pt>
                <c:pt idx="44">
                  <c:v>43678</c:v>
                </c:pt>
                <c:pt idx="45">
                  <c:v>43709</c:v>
                </c:pt>
                <c:pt idx="46">
                  <c:v>43739</c:v>
                </c:pt>
                <c:pt idx="47">
                  <c:v>43770</c:v>
                </c:pt>
                <c:pt idx="48">
                  <c:v>43800</c:v>
                </c:pt>
                <c:pt idx="49">
                  <c:v>43831</c:v>
                </c:pt>
                <c:pt idx="50">
                  <c:v>43862</c:v>
                </c:pt>
                <c:pt idx="51">
                  <c:v>43891</c:v>
                </c:pt>
                <c:pt idx="52">
                  <c:v>43922</c:v>
                </c:pt>
                <c:pt idx="53">
                  <c:v>43952</c:v>
                </c:pt>
                <c:pt idx="54">
                  <c:v>43983</c:v>
                </c:pt>
                <c:pt idx="55">
                  <c:v>44013</c:v>
                </c:pt>
                <c:pt idx="56">
                  <c:v>44044</c:v>
                </c:pt>
                <c:pt idx="57">
                  <c:v>44075</c:v>
                </c:pt>
                <c:pt idx="58">
                  <c:v>44105</c:v>
                </c:pt>
                <c:pt idx="59">
                  <c:v>44136</c:v>
                </c:pt>
                <c:pt idx="60">
                  <c:v>44166</c:v>
                </c:pt>
                <c:pt idx="61">
                  <c:v>44197</c:v>
                </c:pt>
                <c:pt idx="62">
                  <c:v>44228</c:v>
                </c:pt>
                <c:pt idx="63">
                  <c:v>44256</c:v>
                </c:pt>
                <c:pt idx="64">
                  <c:v>44287</c:v>
                </c:pt>
                <c:pt idx="65">
                  <c:v>44317</c:v>
                </c:pt>
                <c:pt idx="66">
                  <c:v>44348</c:v>
                </c:pt>
                <c:pt idx="67">
                  <c:v>44378</c:v>
                </c:pt>
                <c:pt idx="68">
                  <c:v>44409</c:v>
                </c:pt>
                <c:pt idx="69">
                  <c:v>44440</c:v>
                </c:pt>
                <c:pt idx="70">
                  <c:v>44470</c:v>
                </c:pt>
                <c:pt idx="71">
                  <c:v>44501</c:v>
                </c:pt>
                <c:pt idx="72">
                  <c:v>44531</c:v>
                </c:pt>
                <c:pt idx="73">
                  <c:v>44562</c:v>
                </c:pt>
                <c:pt idx="74">
                  <c:v>44593</c:v>
                </c:pt>
                <c:pt idx="75">
                  <c:v>44621</c:v>
                </c:pt>
                <c:pt idx="76">
                  <c:v>44652</c:v>
                </c:pt>
                <c:pt idx="77">
                  <c:v>44682</c:v>
                </c:pt>
                <c:pt idx="78">
                  <c:v>44713</c:v>
                </c:pt>
                <c:pt idx="79">
                  <c:v>44743</c:v>
                </c:pt>
                <c:pt idx="80">
                  <c:v>44774</c:v>
                </c:pt>
                <c:pt idx="81">
                  <c:v>44805</c:v>
                </c:pt>
                <c:pt idx="82">
                  <c:v>44835</c:v>
                </c:pt>
                <c:pt idx="83">
                  <c:v>44866</c:v>
                </c:pt>
                <c:pt idx="84">
                  <c:v>44896</c:v>
                </c:pt>
              </c:numCache>
            </c:numRef>
          </c:xVal>
          <c:yVal>
            <c:numRef>
              <c:f>FLEET_55_PRE_REHAB_PERFORMANCE!$D$7:$D$91</c:f>
              <c:numCache>
                <c:formatCode>_(* #,##0_);_(* \(#,##0\);_(* "-"??_);_(@_)</c:formatCode>
                <c:ptCount val="85"/>
                <c:pt idx="0">
                  <c:v>8912.2000000000007</c:v>
                </c:pt>
                <c:pt idx="1">
                  <c:v>4254.6000000000004</c:v>
                </c:pt>
                <c:pt idx="2">
                  <c:v>17257.900000000001</c:v>
                </c:pt>
                <c:pt idx="3">
                  <c:v>7702.5777777777776</c:v>
                </c:pt>
                <c:pt idx="4">
                  <c:v>11274.391666666668</c:v>
                </c:pt>
                <c:pt idx="5">
                  <c:v>7301.5333333333338</c:v>
                </c:pt>
                <c:pt idx="6">
                  <c:v>10400.523809523809</c:v>
                </c:pt>
                <c:pt idx="7">
                  <c:v>14258.77</c:v>
                </c:pt>
                <c:pt idx="8">
                  <c:v>11140.780645161291</c:v>
                </c:pt>
                <c:pt idx="9">
                  <c:v>13988.567857142858</c:v>
                </c:pt>
                <c:pt idx="10">
                  <c:v>11325.57</c:v>
                </c:pt>
                <c:pt idx="11">
                  <c:v>11453.95</c:v>
                </c:pt>
                <c:pt idx="12">
                  <c:v>9306.4857142857145</c:v>
                </c:pt>
                <c:pt idx="13">
                  <c:v>7777.9253731343288</c:v>
                </c:pt>
                <c:pt idx="14">
                  <c:v>13156.116666666667</c:v>
                </c:pt>
                <c:pt idx="15">
                  <c:v>8928.2936507936502</c:v>
                </c:pt>
                <c:pt idx="16">
                  <c:v>12147.488888888889</c:v>
                </c:pt>
                <c:pt idx="17">
                  <c:v>11903.325531914894</c:v>
                </c:pt>
                <c:pt idx="18">
                  <c:v>12954.652272727271</c:v>
                </c:pt>
                <c:pt idx="19">
                  <c:v>13923.269047619049</c:v>
                </c:pt>
                <c:pt idx="20">
                  <c:v>15506.358974358975</c:v>
                </c:pt>
                <c:pt idx="21">
                  <c:v>9000.3812500000004</c:v>
                </c:pt>
                <c:pt idx="22">
                  <c:v>6979.7686046511626</c:v>
                </c:pt>
                <c:pt idx="23">
                  <c:v>11367.02549019608</c:v>
                </c:pt>
                <c:pt idx="24">
                  <c:v>6525.8771739130434</c:v>
                </c:pt>
                <c:pt idx="25">
                  <c:v>4799.8715447154464</c:v>
                </c:pt>
                <c:pt idx="26">
                  <c:v>7393.6891891891892</c:v>
                </c:pt>
                <c:pt idx="27">
                  <c:v>9984.3660377358501</c:v>
                </c:pt>
                <c:pt idx="28">
                  <c:v>7574.0285714285719</c:v>
                </c:pt>
                <c:pt idx="29">
                  <c:v>7998.6428571428569</c:v>
                </c:pt>
                <c:pt idx="30">
                  <c:v>10064.571698113208</c:v>
                </c:pt>
                <c:pt idx="31">
                  <c:v>8643.871666666666</c:v>
                </c:pt>
                <c:pt idx="32">
                  <c:v>7655.5323076923078</c:v>
                </c:pt>
                <c:pt idx="33">
                  <c:v>6625.5338235294112</c:v>
                </c:pt>
                <c:pt idx="34">
                  <c:v>5784.957317073171</c:v>
                </c:pt>
                <c:pt idx="35">
                  <c:v>6561.9188405797104</c:v>
                </c:pt>
                <c:pt idx="36">
                  <c:v>7479.5177419354832</c:v>
                </c:pt>
                <c:pt idx="37">
                  <c:v>6884.3151515151512</c:v>
                </c:pt>
                <c:pt idx="38">
                  <c:v>6828.3416666666662</c:v>
                </c:pt>
                <c:pt idx="39">
                  <c:v>7916.9258620689661</c:v>
                </c:pt>
                <c:pt idx="40">
                  <c:v>9360.5541666666668</c:v>
                </c:pt>
                <c:pt idx="41">
                  <c:v>7459.3873015873023</c:v>
                </c:pt>
                <c:pt idx="42">
                  <c:v>7117.8984126984124</c:v>
                </c:pt>
                <c:pt idx="43">
                  <c:v>6175.7402777777779</c:v>
                </c:pt>
                <c:pt idx="44">
                  <c:v>7653.433962264151</c:v>
                </c:pt>
                <c:pt idx="45">
                  <c:v>6581.2250000000004</c:v>
                </c:pt>
                <c:pt idx="46">
                  <c:v>6327.161764705882</c:v>
                </c:pt>
                <c:pt idx="47">
                  <c:v>10681.310526315789</c:v>
                </c:pt>
                <c:pt idx="48">
                  <c:v>8337.9294117647059</c:v>
                </c:pt>
                <c:pt idx="49">
                  <c:v>7837.9375</c:v>
                </c:pt>
                <c:pt idx="50">
                  <c:v>6599.8276923076919</c:v>
                </c:pt>
                <c:pt idx="51">
                  <c:v>11544.693103448275</c:v>
                </c:pt>
                <c:pt idx="52">
                  <c:v>6823.7703703703701</c:v>
                </c:pt>
                <c:pt idx="53">
                  <c:v>10974.977777777778</c:v>
                </c:pt>
                <c:pt idx="54">
                  <c:v>8129.086956521739</c:v>
                </c:pt>
                <c:pt idx="55">
                  <c:v>7385.0625</c:v>
                </c:pt>
                <c:pt idx="56">
                  <c:v>7125.3666666666668</c:v>
                </c:pt>
                <c:pt idx="57">
                  <c:v>8811.3421052631584</c:v>
                </c:pt>
                <c:pt idx="58">
                  <c:v>6514.9918367346936</c:v>
                </c:pt>
                <c:pt idx="59">
                  <c:v>6801.1431818181818</c:v>
                </c:pt>
                <c:pt idx="60">
                  <c:v>7480.5902439024394</c:v>
                </c:pt>
                <c:pt idx="61">
                  <c:v>7035.0710526315788</c:v>
                </c:pt>
                <c:pt idx="62">
                  <c:v>7324.7694444444896</c:v>
                </c:pt>
                <c:pt idx="63">
                  <c:v>7980.7279069767465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96-4D1E-9034-1734BBEF63B9}"/>
            </c:ext>
          </c:extLst>
        </c:ser>
        <c:ser>
          <c:idx val="3"/>
          <c:order val="2"/>
          <c:spPr>
            <a:ln w="28575">
              <a:noFill/>
            </a:ln>
          </c:spPr>
          <c:xVal>
            <c:numRef>
              <c:f>FLEET_55_PRE_REHAB_PERFORMANCE!$A$7:$A$91</c:f>
              <c:numCache>
                <c:formatCode>mm/yyyy</c:formatCode>
                <c:ptCount val="8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  <c:pt idx="25">
                  <c:v>43101</c:v>
                </c:pt>
                <c:pt idx="26">
                  <c:v>43132</c:v>
                </c:pt>
                <c:pt idx="27">
                  <c:v>43160</c:v>
                </c:pt>
                <c:pt idx="28">
                  <c:v>43191</c:v>
                </c:pt>
                <c:pt idx="29">
                  <c:v>43221</c:v>
                </c:pt>
                <c:pt idx="30">
                  <c:v>43252</c:v>
                </c:pt>
                <c:pt idx="31">
                  <c:v>43282</c:v>
                </c:pt>
                <c:pt idx="32">
                  <c:v>43313</c:v>
                </c:pt>
                <c:pt idx="33">
                  <c:v>43344</c:v>
                </c:pt>
                <c:pt idx="34">
                  <c:v>43374</c:v>
                </c:pt>
                <c:pt idx="35">
                  <c:v>43405</c:v>
                </c:pt>
                <c:pt idx="36">
                  <c:v>43435</c:v>
                </c:pt>
                <c:pt idx="37">
                  <c:v>43466</c:v>
                </c:pt>
                <c:pt idx="38">
                  <c:v>43497</c:v>
                </c:pt>
                <c:pt idx="39">
                  <c:v>43525</c:v>
                </c:pt>
                <c:pt idx="40">
                  <c:v>43556</c:v>
                </c:pt>
                <c:pt idx="41">
                  <c:v>43586</c:v>
                </c:pt>
                <c:pt idx="42">
                  <c:v>43617</c:v>
                </c:pt>
                <c:pt idx="43">
                  <c:v>43647</c:v>
                </c:pt>
                <c:pt idx="44">
                  <c:v>43678</c:v>
                </c:pt>
                <c:pt idx="45">
                  <c:v>43709</c:v>
                </c:pt>
                <c:pt idx="46">
                  <c:v>43739</c:v>
                </c:pt>
                <c:pt idx="47">
                  <c:v>43770</c:v>
                </c:pt>
                <c:pt idx="48">
                  <c:v>43800</c:v>
                </c:pt>
                <c:pt idx="49">
                  <c:v>43831</c:v>
                </c:pt>
                <c:pt idx="50">
                  <c:v>43862</c:v>
                </c:pt>
                <c:pt idx="51">
                  <c:v>43891</c:v>
                </c:pt>
                <c:pt idx="52">
                  <c:v>43922</c:v>
                </c:pt>
                <c:pt idx="53">
                  <c:v>43952</c:v>
                </c:pt>
                <c:pt idx="54">
                  <c:v>43983</c:v>
                </c:pt>
                <c:pt idx="55">
                  <c:v>44013</c:v>
                </c:pt>
                <c:pt idx="56">
                  <c:v>44044</c:v>
                </c:pt>
                <c:pt idx="57">
                  <c:v>44075</c:v>
                </c:pt>
                <c:pt idx="58">
                  <c:v>44105</c:v>
                </c:pt>
                <c:pt idx="59">
                  <c:v>44136</c:v>
                </c:pt>
                <c:pt idx="60">
                  <c:v>44166</c:v>
                </c:pt>
                <c:pt idx="61">
                  <c:v>44197</c:v>
                </c:pt>
                <c:pt idx="62">
                  <c:v>44228</c:v>
                </c:pt>
                <c:pt idx="63">
                  <c:v>44256</c:v>
                </c:pt>
                <c:pt idx="64">
                  <c:v>44287</c:v>
                </c:pt>
                <c:pt idx="65">
                  <c:v>44317</c:v>
                </c:pt>
                <c:pt idx="66">
                  <c:v>44348</c:v>
                </c:pt>
                <c:pt idx="67">
                  <c:v>44378</c:v>
                </c:pt>
                <c:pt idx="68">
                  <c:v>44409</c:v>
                </c:pt>
                <c:pt idx="69">
                  <c:v>44440</c:v>
                </c:pt>
                <c:pt idx="70">
                  <c:v>44470</c:v>
                </c:pt>
                <c:pt idx="71">
                  <c:v>44501</c:v>
                </c:pt>
                <c:pt idx="72">
                  <c:v>44531</c:v>
                </c:pt>
                <c:pt idx="73">
                  <c:v>44562</c:v>
                </c:pt>
                <c:pt idx="74">
                  <c:v>44593</c:v>
                </c:pt>
                <c:pt idx="75">
                  <c:v>44621</c:v>
                </c:pt>
                <c:pt idx="76">
                  <c:v>44652</c:v>
                </c:pt>
                <c:pt idx="77">
                  <c:v>44682</c:v>
                </c:pt>
                <c:pt idx="78">
                  <c:v>44713</c:v>
                </c:pt>
                <c:pt idx="79">
                  <c:v>44743</c:v>
                </c:pt>
                <c:pt idx="80">
                  <c:v>44774</c:v>
                </c:pt>
                <c:pt idx="81">
                  <c:v>44805</c:v>
                </c:pt>
                <c:pt idx="82">
                  <c:v>44835</c:v>
                </c:pt>
                <c:pt idx="83">
                  <c:v>44866</c:v>
                </c:pt>
                <c:pt idx="84">
                  <c:v>44896</c:v>
                </c:pt>
              </c:numCache>
            </c:numRef>
          </c:xVal>
          <c:yVal>
            <c:numRef>
              <c:f>FLEET_55_PRE_REHAB_PERFORMANCE!$F$7:$F$91</c:f>
              <c:numCache>
                <c:formatCode>General</c:formatCode>
                <c:ptCount val="85"/>
                <c:pt idx="7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96-4D1E-9034-1734BBEF63B9}"/>
            </c:ext>
          </c:extLst>
        </c:ser>
        <c:ser>
          <c:idx val="0"/>
          <c:order val="3"/>
          <c:spPr>
            <a:ln w="28575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96-4D1E-9034-1734BBEF63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96-4D1E-9034-1734BBEF63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96-4D1E-9034-1734BBEF63B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96-4D1E-9034-1734BBEF63B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96-4D1E-9034-1734BBEF63B9}"/>
                </c:ext>
              </c:extLst>
            </c:dLbl>
            <c:dLbl>
              <c:idx val="5"/>
              <c:layout>
                <c:manualLayout>
                  <c:x val="-6.052107581991599E-2"/>
                  <c:y val="-2.178307512059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96-4D1E-9034-1734BBEF63B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B96-4D1E-9034-1734BBEF63B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B96-4D1E-9034-1734BBEF63B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B96-4D1E-9034-1734BBEF63B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B96-4D1E-9034-1734BBEF63B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B96-4D1E-9034-1734BBEF63B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B96-4D1E-9034-1734BBEF63B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B96-4D1E-9034-1734BBEF63B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B96-4D1E-9034-1734BBEF63B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B96-4D1E-9034-1734BBEF63B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96-4D1E-9034-1734BBEF63B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B96-4D1E-9034-1734BBEF63B9}"/>
                </c:ext>
              </c:extLst>
            </c:dLbl>
            <c:dLbl>
              <c:idx val="17"/>
              <c:layout>
                <c:manualLayout>
                  <c:x val="-5.8620902054428811E-2"/>
                  <c:y val="-2.0120564729907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B96-4D1E-9034-1734BBEF63B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B96-4D1E-9034-1734BBEF63B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B96-4D1E-9034-1734BBEF63B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B96-4D1E-9034-1734BBEF63B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B96-4D1E-9034-1734BBEF63B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B96-4D1E-9034-1734BBEF63B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B96-4D1E-9034-1734BBEF63B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B96-4D1E-9034-1734BBEF63B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B96-4D1E-9034-1734BBEF63B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B96-4D1E-9034-1734BBEF63B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B96-4D1E-9034-1734BBEF63B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B96-4D1E-9034-1734BBEF63B9}"/>
                </c:ext>
              </c:extLst>
            </c:dLbl>
            <c:dLbl>
              <c:idx val="29"/>
              <c:layout>
                <c:manualLayout>
                  <c:x val="-5.5067857000943139E-2"/>
                  <c:y val="-1.845805433921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B96-4D1E-9034-1734BBEF63B9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B96-4D1E-9034-1734BBEF63B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B96-4D1E-9034-1734BBEF63B9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B96-4D1E-9034-1734BBEF63B9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B96-4D1E-9034-1734BBEF63B9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B96-4D1E-9034-1734BBEF63B9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B96-4D1E-9034-1734BBEF63B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B96-4D1E-9034-1734BBEF63B9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B96-4D1E-9034-1734BBEF63B9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B96-4D1E-9034-1734BBEF63B9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B96-4D1E-9034-1734BBEF63B9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B96-4D1E-9034-1734BBEF63B9}"/>
                </c:ext>
              </c:extLst>
            </c:dLbl>
            <c:dLbl>
              <c:idx val="41"/>
              <c:layout>
                <c:manualLayout>
                  <c:x val="-5.10221478215062E-2"/>
                  <c:y val="-2.0120564729907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B96-4D1E-9034-1734BBEF63B9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B96-4D1E-9034-1734BBEF63B9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B96-4D1E-9034-1734BBEF63B9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B96-4D1E-9034-1734BBEF63B9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B96-4D1E-9034-1734BBEF63B9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B96-4D1E-9034-1734BBEF63B9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B96-4D1E-9034-1734BBEF63B9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B96-4D1E-9034-1734BBEF63B9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B96-4D1E-9034-1734BBEF63B9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B96-4D1E-9034-1734BBEF63B9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B96-4D1E-9034-1734BBEF63B9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B96-4D1E-9034-1734BBEF63B9}"/>
                </c:ext>
              </c:extLst>
            </c:dLbl>
            <c:dLbl>
              <c:idx val="53"/>
              <c:layout>
                <c:manualLayout>
                  <c:x val="-5.462044483596986E-2"/>
                  <c:y val="-2.178307512059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B96-4D1E-9034-1734BBEF63B9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B96-4D1E-9034-1734BBEF63B9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B96-4D1E-9034-1734BBEF63B9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B96-4D1E-9034-1734BBEF63B9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B96-4D1E-9034-1734BBEF63B9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B96-4D1E-9034-1734BBEF63B9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B96-4D1E-9034-1734BBEF63B9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B96-4D1E-9034-1734BBEF63B9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B96-4D1E-9034-1734BBEF63B9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8B96-4D1E-9034-1734BBEF63B9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8B96-4D1E-9034-1734BBEF63B9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8B96-4D1E-9034-1734BBEF63B9}"/>
                </c:ext>
              </c:extLst>
            </c:dLbl>
            <c:dLbl>
              <c:idx val="65"/>
              <c:layout>
                <c:manualLayout>
                  <c:x val="-5.4620444835969811E-2"/>
                  <c:y val="-2.3445585511287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B96-4D1E-9034-1734BBEF63B9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B96-4D1E-9034-1734BBEF63B9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B96-4D1E-9034-1734BBEF63B9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B96-4D1E-9034-1734BBEF63B9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B96-4D1E-9034-1734BBEF63B9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B96-4D1E-9034-1734BBEF63B9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B96-4D1E-9034-1734BBEF63B9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B96-4D1E-9034-1734BBEF63B9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B96-4D1E-9034-1734BBEF63B9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B96-4D1E-9034-1734BBEF63B9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B96-4D1E-9034-1734BBEF63B9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8B96-4D1E-9034-1734BBEF63B9}"/>
                </c:ext>
              </c:extLst>
            </c:dLbl>
            <c:dLbl>
              <c:idx val="77"/>
              <c:layout>
                <c:manualLayout>
                  <c:x val="-5.4670599943961118E-2"/>
                  <c:y val="-2.178307512059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8B96-4D1E-9034-1734BBEF63B9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8B96-4D1E-9034-1734BBEF63B9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8B96-4D1E-9034-1734BBEF63B9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8B96-4D1E-9034-1734BBEF63B9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8B96-4D1E-9034-1734BBEF63B9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8B96-4D1E-9034-1734BBEF63B9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8B96-4D1E-9034-1734BBEF63B9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8B96-4D1E-9034-1734BBEF63B9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8B96-4D1E-9034-1734BBEF63B9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8B96-4D1E-9034-1734BBEF63B9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8B96-4D1E-9034-1734BBEF63B9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8B96-4D1E-9034-1734BBEF63B9}"/>
                </c:ext>
              </c:extLst>
            </c:dLbl>
            <c:dLbl>
              <c:idx val="89"/>
              <c:layout>
                <c:manualLayout>
                  <c:x val="-4.9269539349809176E-2"/>
                  <c:y val="-2.178307512059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8B96-4D1E-9034-1734BBEF63B9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8B96-4D1E-9034-1734BBEF63B9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8B96-4D1E-9034-1734BBEF63B9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8B96-4D1E-9034-1734BBEF63B9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8B96-4D1E-9034-1734BBEF63B9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8B96-4D1E-9034-1734BBEF63B9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8B96-4D1E-9034-1734BBEF63B9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8B96-4D1E-9034-1734BBEF63B9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8B96-4D1E-9034-1734BBEF63B9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8B96-4D1E-9034-1734BBEF63B9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8B96-4D1E-9034-1734BBEF63B9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8B96-4D1E-9034-1734BBEF63B9}"/>
                </c:ext>
              </c:extLst>
            </c:dLbl>
            <c:dLbl>
              <c:idx val="101"/>
              <c:layout>
                <c:manualLayout>
                  <c:x val="-5.2737306137080137E-2"/>
                  <c:y val="-2.178307512059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8B96-4D1E-9034-1734BBEF63B9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8B96-4D1E-9034-1734BBEF63B9}"/>
                </c:ext>
              </c:extLst>
            </c:dLbl>
            <c:dLbl>
              <c:idx val="103"/>
              <c:layout>
                <c:manualLayout>
                  <c:x val="0"/>
                  <c:y val="-1.828761429758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8B96-4D1E-9034-1734BBEF63B9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8B96-4D1E-9034-1734BBEF63B9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8B96-4D1E-9034-1734BBEF63B9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8B96-4D1E-9034-1734BBEF63B9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8B96-4D1E-9034-1734BBEF63B9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8B96-4D1E-9034-1734BBEF63B9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8B96-4D1E-9034-1734BBEF63B9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8B96-4D1E-9034-1734BBEF63B9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8B96-4D1E-9034-1734BBEF63B9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8B96-4D1E-9034-1734BBEF63B9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8B96-4D1E-9034-1734BBEF63B9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8B96-4D1E-9034-1734BBEF63B9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8B96-4D1E-9034-1734BBEF63B9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8B96-4D1E-9034-1734BBEF63B9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8B96-4D1E-9034-1734BBEF63B9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8B96-4D1E-9034-1734BBEF63B9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8B96-4D1E-9034-1734BBEF63B9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8B96-4D1E-9034-1734BBEF63B9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8B96-4D1E-9034-1734BBEF63B9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B96-4D1E-9034-1734BBEF63B9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8B96-4D1E-9034-1734BBEF63B9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8B96-4D1E-9034-1734BBEF63B9}"/>
                </c:ext>
              </c:extLst>
            </c:dLbl>
            <c:dLbl>
              <c:idx val="125"/>
              <c:layout>
                <c:manualLayout>
                  <c:x val="-5.2947450215437127E-2"/>
                  <c:y val="-1.9950124688279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8B96-4D1E-9034-1734BBEF63B9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8B96-4D1E-9034-1734BBEF63B9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8B96-4D1E-9034-1734BBEF63B9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8B96-4D1E-9034-1734BBEF63B9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8B96-4D1E-9034-1734BBEF63B9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8B96-4D1E-9034-1734BBEF63B9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8B96-4D1E-9034-1734BBEF63B9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8B96-4D1E-9034-1734BBEF63B9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8B96-4D1E-9034-1734BBEF63B9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8B96-4D1E-9034-1734BBEF63B9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8B96-4D1E-9034-1734BBEF63B9}"/>
                </c:ext>
              </c:extLst>
            </c:dLbl>
            <c:dLbl>
              <c:idx val="136"/>
              <c:layout>
                <c:manualLayout>
                  <c:x val="-5.0359814379111939E-2"/>
                  <c:y val="-2.4937655860349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8B96-4D1E-9034-1734BBEF63B9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8B96-4D1E-9034-1734BBEF63B9}"/>
                </c:ext>
              </c:extLst>
            </c:dLbl>
            <c:dLbl>
              <c:idx val="138"/>
              <c:layout>
                <c:manualLayout>
                  <c:x val="-4.8740815019357481E-2"/>
                  <c:y val="1.9779684646650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8B96-4D1E-9034-1734BBEF63B9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8B96-4D1E-9034-1734BBEF63B9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8B96-4D1E-9034-1734BBEF63B9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8B96-4D1E-9034-1734BBEF63B9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8B96-4D1E-9034-1734BBEF63B9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8B96-4D1E-9034-1734BBEF63B9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8B96-4D1E-9034-1734BBEF63B9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8B96-4D1E-9034-1734BBEF63B9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8B96-4D1E-9034-1734BBEF63B9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8B96-4D1E-9034-1734BBEF63B9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8B96-4D1E-9034-1734BBEF63B9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8B96-4D1E-9034-1734BBEF63B9}"/>
                </c:ext>
              </c:extLst>
            </c:dLbl>
            <c:dLbl>
              <c:idx val="150"/>
              <c:layout>
                <c:manualLayout>
                  <c:x val="-4.5025559424079917E-2"/>
                  <c:y val="1.8117174255961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8B96-4D1E-9034-1734BBEF63B9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8B96-4D1E-9034-1734BBEF63B9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8B96-4D1E-9034-1734BBEF63B9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8B96-4D1E-9034-1734BBEF63B9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8B96-4D1E-9034-1734BBEF63B9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8B96-4D1E-9034-1734BBEF63B9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8B96-4D1E-9034-1734BBEF63B9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8B96-4D1E-9034-1734BBEF63B9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8B96-4D1E-9034-1734BBEF63B9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8B96-4D1E-9034-1734BBEF63B9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8B96-4D1E-9034-1734BBEF63B9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8B96-4D1E-9034-1734BBEF63B9}"/>
                </c:ext>
              </c:extLst>
            </c:dLbl>
            <c:dLbl>
              <c:idx val="162"/>
              <c:layout>
                <c:manualLayout>
                  <c:x val="-4.6319859712944021E-2"/>
                  <c:y val="1.8117174255961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8B96-4D1E-9034-1734BBEF63B9}"/>
                </c:ext>
              </c:extLst>
            </c:dLbl>
            <c:dLbl>
              <c:idx val="163"/>
              <c:layout>
                <c:manualLayout>
                  <c:x val="-5.0219970916602925E-3"/>
                  <c:y val="1.8117174255961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8B96-4D1E-9034-1734BBEF63B9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8B96-4D1E-9034-1734BBEF63B9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8B96-4D1E-9034-1734BBEF63B9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8B96-4D1E-9034-1734BBEF63B9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8B96-4D1E-9034-1734BBEF63B9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8B96-4D1E-9034-1734BBEF63B9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8B96-4D1E-9034-1734BBEF63B9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8B96-4D1E-9034-1734BBEF63B9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8B96-4D1E-9034-1734BBEF63B9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8B96-4D1E-9034-1734BBEF63B9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8B96-4D1E-9034-1734BBEF63B9}"/>
                </c:ext>
              </c:extLst>
            </c:dLbl>
            <c:spPr>
              <a:solidFill>
                <a:srgbClr val="FFFFFF">
                  <a:alpha val="52941"/>
                </a:srgbClr>
              </a:solidFill>
              <a:ln w="1905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FLEET_55_PRE_REHAB_PERFORMANCE!$A$7:$A$91</c:f>
              <c:numCache>
                <c:formatCode>mm/yyyy</c:formatCode>
                <c:ptCount val="8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  <c:pt idx="25">
                  <c:v>43101</c:v>
                </c:pt>
                <c:pt idx="26">
                  <c:v>43132</c:v>
                </c:pt>
                <c:pt idx="27">
                  <c:v>43160</c:v>
                </c:pt>
                <c:pt idx="28">
                  <c:v>43191</c:v>
                </c:pt>
                <c:pt idx="29">
                  <c:v>43221</c:v>
                </c:pt>
                <c:pt idx="30">
                  <c:v>43252</c:v>
                </c:pt>
                <c:pt idx="31">
                  <c:v>43282</c:v>
                </c:pt>
                <c:pt idx="32">
                  <c:v>43313</c:v>
                </c:pt>
                <c:pt idx="33">
                  <c:v>43344</c:v>
                </c:pt>
                <c:pt idx="34">
                  <c:v>43374</c:v>
                </c:pt>
                <c:pt idx="35">
                  <c:v>43405</c:v>
                </c:pt>
                <c:pt idx="36">
                  <c:v>43435</c:v>
                </c:pt>
                <c:pt idx="37">
                  <c:v>43466</c:v>
                </c:pt>
                <c:pt idx="38">
                  <c:v>43497</c:v>
                </c:pt>
                <c:pt idx="39">
                  <c:v>43525</c:v>
                </c:pt>
                <c:pt idx="40">
                  <c:v>43556</c:v>
                </c:pt>
                <c:pt idx="41">
                  <c:v>43586</c:v>
                </c:pt>
                <c:pt idx="42">
                  <c:v>43617</c:v>
                </c:pt>
                <c:pt idx="43">
                  <c:v>43647</c:v>
                </c:pt>
                <c:pt idx="44">
                  <c:v>43678</c:v>
                </c:pt>
                <c:pt idx="45">
                  <c:v>43709</c:v>
                </c:pt>
                <c:pt idx="46">
                  <c:v>43739</c:v>
                </c:pt>
                <c:pt idx="47">
                  <c:v>43770</c:v>
                </c:pt>
                <c:pt idx="48">
                  <c:v>43800</c:v>
                </c:pt>
                <c:pt idx="49">
                  <c:v>43831</c:v>
                </c:pt>
                <c:pt idx="50">
                  <c:v>43862</c:v>
                </c:pt>
                <c:pt idx="51">
                  <c:v>43891</c:v>
                </c:pt>
                <c:pt idx="52">
                  <c:v>43922</c:v>
                </c:pt>
                <c:pt idx="53">
                  <c:v>43952</c:v>
                </c:pt>
                <c:pt idx="54">
                  <c:v>43983</c:v>
                </c:pt>
                <c:pt idx="55">
                  <c:v>44013</c:v>
                </c:pt>
                <c:pt idx="56">
                  <c:v>44044</c:v>
                </c:pt>
                <c:pt idx="57">
                  <c:v>44075</c:v>
                </c:pt>
                <c:pt idx="58">
                  <c:v>44105</c:v>
                </c:pt>
                <c:pt idx="59">
                  <c:v>44136</c:v>
                </c:pt>
                <c:pt idx="60">
                  <c:v>44166</c:v>
                </c:pt>
                <c:pt idx="61">
                  <c:v>44197</c:v>
                </c:pt>
                <c:pt idx="62">
                  <c:v>44228</c:v>
                </c:pt>
                <c:pt idx="63">
                  <c:v>44256</c:v>
                </c:pt>
                <c:pt idx="64">
                  <c:v>44287</c:v>
                </c:pt>
                <c:pt idx="65">
                  <c:v>44317</c:v>
                </c:pt>
                <c:pt idx="66">
                  <c:v>44348</c:v>
                </c:pt>
                <c:pt idx="67">
                  <c:v>44378</c:v>
                </c:pt>
                <c:pt idx="68">
                  <c:v>44409</c:v>
                </c:pt>
                <c:pt idx="69">
                  <c:v>44440</c:v>
                </c:pt>
                <c:pt idx="70">
                  <c:v>44470</c:v>
                </c:pt>
                <c:pt idx="71">
                  <c:v>44501</c:v>
                </c:pt>
                <c:pt idx="72">
                  <c:v>44531</c:v>
                </c:pt>
                <c:pt idx="73">
                  <c:v>44562</c:v>
                </c:pt>
                <c:pt idx="74">
                  <c:v>44593</c:v>
                </c:pt>
                <c:pt idx="75">
                  <c:v>44621</c:v>
                </c:pt>
                <c:pt idx="76">
                  <c:v>44652</c:v>
                </c:pt>
                <c:pt idx="77">
                  <c:v>44682</c:v>
                </c:pt>
                <c:pt idx="78">
                  <c:v>44713</c:v>
                </c:pt>
                <c:pt idx="79">
                  <c:v>44743</c:v>
                </c:pt>
                <c:pt idx="80">
                  <c:v>44774</c:v>
                </c:pt>
                <c:pt idx="81">
                  <c:v>44805</c:v>
                </c:pt>
                <c:pt idx="82">
                  <c:v>44835</c:v>
                </c:pt>
                <c:pt idx="83">
                  <c:v>44866</c:v>
                </c:pt>
                <c:pt idx="84">
                  <c:v>44896</c:v>
                </c:pt>
              </c:numCache>
            </c:numRef>
          </c:xVal>
          <c:yVal>
            <c:numRef>
              <c:f>FLEET_55_PRE_REHAB_PERFORMANCE!$G$7:$G$91</c:f>
              <c:numCache>
                <c:formatCode>_(* #,##0_);_(* \(#,##0\);_(* "-"??_);_(@_)</c:formatCode>
                <c:ptCount val="85"/>
                <c:pt idx="0">
                  <c:v>8912.2000000000007</c:v>
                </c:pt>
                <c:pt idx="1">
                  <c:v>10927.918374558305</c:v>
                </c:pt>
                <c:pt idx="2">
                  <c:v>10927.918374558305</c:v>
                </c:pt>
                <c:pt idx="3">
                  <c:v>10927.918374558305</c:v>
                </c:pt>
                <c:pt idx="4">
                  <c:v>10927.918374558305</c:v>
                </c:pt>
                <c:pt idx="5">
                  <c:v>10927.918374558305</c:v>
                </c:pt>
                <c:pt idx="6">
                  <c:v>10927.918374558305</c:v>
                </c:pt>
                <c:pt idx="7">
                  <c:v>10927.918374558305</c:v>
                </c:pt>
                <c:pt idx="8">
                  <c:v>10927.918374558305</c:v>
                </c:pt>
                <c:pt idx="9">
                  <c:v>10927.918374558305</c:v>
                </c:pt>
                <c:pt idx="10">
                  <c:v>10927.918374558305</c:v>
                </c:pt>
                <c:pt idx="11">
                  <c:v>10927.918374558305</c:v>
                </c:pt>
                <c:pt idx="12">
                  <c:v>10927.918374558305</c:v>
                </c:pt>
                <c:pt idx="13">
                  <c:v>10028.4474852071</c:v>
                </c:pt>
                <c:pt idx="14">
                  <c:v>10028.4474852071</c:v>
                </c:pt>
                <c:pt idx="15">
                  <c:v>10028.4474852071</c:v>
                </c:pt>
                <c:pt idx="16">
                  <c:v>10028.4474852071</c:v>
                </c:pt>
                <c:pt idx="17">
                  <c:v>10028.4474852071</c:v>
                </c:pt>
                <c:pt idx="18">
                  <c:v>10028.4474852071</c:v>
                </c:pt>
                <c:pt idx="19">
                  <c:v>10028.4474852071</c:v>
                </c:pt>
                <c:pt idx="20">
                  <c:v>10028.4474852071</c:v>
                </c:pt>
                <c:pt idx="21">
                  <c:v>10028.4474852071</c:v>
                </c:pt>
                <c:pt idx="22">
                  <c:v>10028.4474852071</c:v>
                </c:pt>
                <c:pt idx="23">
                  <c:v>10028.4474852071</c:v>
                </c:pt>
                <c:pt idx="24">
                  <c:v>10028.4474852071</c:v>
                </c:pt>
                <c:pt idx="25">
                  <c:v>7220.8971250000004</c:v>
                </c:pt>
                <c:pt idx="26">
                  <c:v>7220.8971250000004</c:v>
                </c:pt>
                <c:pt idx="27">
                  <c:v>7220.8971250000004</c:v>
                </c:pt>
                <c:pt idx="28">
                  <c:v>7220.8971250000004</c:v>
                </c:pt>
                <c:pt idx="29">
                  <c:v>7220.8971250000004</c:v>
                </c:pt>
                <c:pt idx="30">
                  <c:v>7220.8971250000004</c:v>
                </c:pt>
                <c:pt idx="31">
                  <c:v>7220.8971250000004</c:v>
                </c:pt>
                <c:pt idx="32">
                  <c:v>7220.8971250000004</c:v>
                </c:pt>
                <c:pt idx="33">
                  <c:v>7220.8971250000004</c:v>
                </c:pt>
                <c:pt idx="34">
                  <c:v>7220.8971250000004</c:v>
                </c:pt>
                <c:pt idx="35">
                  <c:v>7220.8971250000004</c:v>
                </c:pt>
                <c:pt idx="36">
                  <c:v>7220.8971250000004</c:v>
                </c:pt>
                <c:pt idx="37">
                  <c:v>7420.138494318182</c:v>
                </c:pt>
                <c:pt idx="38">
                  <c:v>7420.138494318182</c:v>
                </c:pt>
                <c:pt idx="39">
                  <c:v>7420.138494318182</c:v>
                </c:pt>
                <c:pt idx="40">
                  <c:v>7420.138494318182</c:v>
                </c:pt>
                <c:pt idx="41">
                  <c:v>7420.138494318182</c:v>
                </c:pt>
                <c:pt idx="42">
                  <c:v>7420.138494318182</c:v>
                </c:pt>
                <c:pt idx="43">
                  <c:v>7420.138494318182</c:v>
                </c:pt>
                <c:pt idx="44">
                  <c:v>7420.138494318182</c:v>
                </c:pt>
                <c:pt idx="45">
                  <c:v>7420.138494318182</c:v>
                </c:pt>
                <c:pt idx="46">
                  <c:v>7420.138494318182</c:v>
                </c:pt>
                <c:pt idx="47">
                  <c:v>7420.138494318182</c:v>
                </c:pt>
                <c:pt idx="48">
                  <c:v>7420.138494318182</c:v>
                </c:pt>
                <c:pt idx="49">
                  <c:v>7700.5435555555559</c:v>
                </c:pt>
                <c:pt idx="50">
                  <c:v>7700.5435555555559</c:v>
                </c:pt>
                <c:pt idx="51">
                  <c:v>7700.5435555555559</c:v>
                </c:pt>
                <c:pt idx="52">
                  <c:v>7700.5435555555559</c:v>
                </c:pt>
                <c:pt idx="53">
                  <c:v>7700.5435555555559</c:v>
                </c:pt>
                <c:pt idx="54">
                  <c:v>7700.5435555555559</c:v>
                </c:pt>
                <c:pt idx="55">
                  <c:v>7700.5435555555559</c:v>
                </c:pt>
                <c:pt idx="56">
                  <c:v>7700.5435555555559</c:v>
                </c:pt>
                <c:pt idx="57">
                  <c:v>7700.5435555555559</c:v>
                </c:pt>
                <c:pt idx="58">
                  <c:v>7700.5435555555559</c:v>
                </c:pt>
                <c:pt idx="59">
                  <c:v>7700.5435555555559</c:v>
                </c:pt>
                <c:pt idx="60">
                  <c:v>7700.5435555555559</c:v>
                </c:pt>
                <c:pt idx="61">
                  <c:v>7471.758119658135</c:v>
                </c:pt>
                <c:pt idx="62">
                  <c:v>7471.758119658135</c:v>
                </c:pt>
                <c:pt idx="63">
                  <c:v>7471.758119658135</c:v>
                </c:pt>
                <c:pt idx="64">
                  <c:v>7471.758119658135</c:v>
                </c:pt>
                <c:pt idx="65">
                  <c:v>7471.758119658135</c:v>
                </c:pt>
                <c:pt idx="66">
                  <c:v>7471.758119658135</c:v>
                </c:pt>
                <c:pt idx="67">
                  <c:v>7471.758119658135</c:v>
                </c:pt>
                <c:pt idx="68">
                  <c:v>7471.758119658135</c:v>
                </c:pt>
                <c:pt idx="69">
                  <c:v>7471.758119658135</c:v>
                </c:pt>
                <c:pt idx="70">
                  <c:v>7471.758119658135</c:v>
                </c:pt>
                <c:pt idx="71">
                  <c:v>7471.758119658135</c:v>
                </c:pt>
                <c:pt idx="72">
                  <c:v>7471.758119658135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8B96-4D1E-9034-1734BBEF6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93952"/>
        <c:axId val="15639434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test exp trend</c:v>
                </c:tx>
                <c:spPr>
                  <a:ln w="28575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FLEET_55_PRE_REHAB_PERFORMANCE!$A$7:$A$42</c15:sqref>
                        </c15:formulaRef>
                      </c:ext>
                    </c:extLst>
                    <c:numCache>
                      <c:formatCode>mm/yyyy</c:formatCode>
                      <c:ptCount val="36"/>
                      <c:pt idx="0">
                        <c:v>42339</c:v>
                      </c:pt>
                      <c:pt idx="1">
                        <c:v>42370</c:v>
                      </c:pt>
                      <c:pt idx="2">
                        <c:v>42401</c:v>
                      </c:pt>
                      <c:pt idx="3">
                        <c:v>42430</c:v>
                      </c:pt>
                      <c:pt idx="4">
                        <c:v>42461</c:v>
                      </c:pt>
                      <c:pt idx="5">
                        <c:v>42491</c:v>
                      </c:pt>
                      <c:pt idx="6">
                        <c:v>42522</c:v>
                      </c:pt>
                      <c:pt idx="7">
                        <c:v>42552</c:v>
                      </c:pt>
                      <c:pt idx="8">
                        <c:v>42583</c:v>
                      </c:pt>
                      <c:pt idx="9">
                        <c:v>42614</c:v>
                      </c:pt>
                      <c:pt idx="10">
                        <c:v>42644</c:v>
                      </c:pt>
                      <c:pt idx="11">
                        <c:v>42675</c:v>
                      </c:pt>
                      <c:pt idx="12">
                        <c:v>42705</c:v>
                      </c:pt>
                      <c:pt idx="13">
                        <c:v>42736</c:v>
                      </c:pt>
                      <c:pt idx="14">
                        <c:v>42767</c:v>
                      </c:pt>
                      <c:pt idx="15">
                        <c:v>42795</c:v>
                      </c:pt>
                      <c:pt idx="16">
                        <c:v>42826</c:v>
                      </c:pt>
                      <c:pt idx="17">
                        <c:v>42856</c:v>
                      </c:pt>
                      <c:pt idx="18">
                        <c:v>42887</c:v>
                      </c:pt>
                      <c:pt idx="19">
                        <c:v>42917</c:v>
                      </c:pt>
                      <c:pt idx="20">
                        <c:v>42948</c:v>
                      </c:pt>
                      <c:pt idx="21">
                        <c:v>42979</c:v>
                      </c:pt>
                      <c:pt idx="22">
                        <c:v>43009</c:v>
                      </c:pt>
                      <c:pt idx="23">
                        <c:v>43040</c:v>
                      </c:pt>
                      <c:pt idx="24">
                        <c:v>43070</c:v>
                      </c:pt>
                      <c:pt idx="25">
                        <c:v>43101</c:v>
                      </c:pt>
                      <c:pt idx="26">
                        <c:v>43132</c:v>
                      </c:pt>
                      <c:pt idx="27">
                        <c:v>43160</c:v>
                      </c:pt>
                      <c:pt idx="28">
                        <c:v>43191</c:v>
                      </c:pt>
                      <c:pt idx="29">
                        <c:v>43221</c:v>
                      </c:pt>
                      <c:pt idx="30">
                        <c:v>43252</c:v>
                      </c:pt>
                      <c:pt idx="31">
                        <c:v>43282</c:v>
                      </c:pt>
                      <c:pt idx="32">
                        <c:v>43313</c:v>
                      </c:pt>
                      <c:pt idx="33">
                        <c:v>43344</c:v>
                      </c:pt>
                      <c:pt idx="34">
                        <c:v>43374</c:v>
                      </c:pt>
                      <c:pt idx="35">
                        <c:v>43405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FLEET_55_PRE_REHAB_PERFORMANCE!$H$7:$H$42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6"/>
                      <c:pt idx="0">
                        <c:v>10938.170600000012</c:v>
                      </c:pt>
                      <c:pt idx="1">
                        <c:v>10871.998000000007</c:v>
                      </c:pt>
                      <c:pt idx="2">
                        <c:v>10805.825400000002</c:v>
                      </c:pt>
                      <c:pt idx="3">
                        <c:v>10743.922000000006</c:v>
                      </c:pt>
                      <c:pt idx="4">
                        <c:v>10677.749400000001</c:v>
                      </c:pt>
                      <c:pt idx="5">
                        <c:v>10613.7114</c:v>
                      </c:pt>
                      <c:pt idx="6">
                        <c:v>10547.538800000009</c:v>
                      </c:pt>
                      <c:pt idx="7">
                        <c:v>10483.500800000009</c:v>
                      </c:pt>
                      <c:pt idx="8">
                        <c:v>10417.328200000004</c:v>
                      </c:pt>
                      <c:pt idx="9">
                        <c:v>10351.155600000013</c:v>
                      </c:pt>
                      <c:pt idx="10">
                        <c:v>10287.117600000012</c:v>
                      </c:pt>
                      <c:pt idx="11">
                        <c:v>10220.945000000007</c:v>
                      </c:pt>
                      <c:pt idx="12">
                        <c:v>10156.907000000007</c:v>
                      </c:pt>
                      <c:pt idx="13">
                        <c:v>10090.734400000001</c:v>
                      </c:pt>
                      <c:pt idx="14">
                        <c:v>10024.56180000001</c:v>
                      </c:pt>
                      <c:pt idx="15">
                        <c:v>9964.7930000000051</c:v>
                      </c:pt>
                      <c:pt idx="16">
                        <c:v>9898.6204000000143</c:v>
                      </c:pt>
                      <c:pt idx="17">
                        <c:v>9834.5824000000139</c:v>
                      </c:pt>
                      <c:pt idx="18">
                        <c:v>9768.4098000000085</c:v>
                      </c:pt>
                      <c:pt idx="19">
                        <c:v>9704.3718000000081</c:v>
                      </c:pt>
                      <c:pt idx="20">
                        <c:v>9638.1992000000027</c:v>
                      </c:pt>
                      <c:pt idx="21">
                        <c:v>9572.026600000012</c:v>
                      </c:pt>
                      <c:pt idx="22">
                        <c:v>9507.9886000000115</c:v>
                      </c:pt>
                      <c:pt idx="23">
                        <c:v>9441.8160000000062</c:v>
                      </c:pt>
                      <c:pt idx="24">
                        <c:v>9377.7780000000057</c:v>
                      </c:pt>
                      <c:pt idx="25">
                        <c:v>9311.6054000000004</c:v>
                      </c:pt>
                      <c:pt idx="26">
                        <c:v>9245.4328000000096</c:v>
                      </c:pt>
                      <c:pt idx="27">
                        <c:v>9185.6640000000043</c:v>
                      </c:pt>
                      <c:pt idx="28">
                        <c:v>9119.4914000000135</c:v>
                      </c:pt>
                      <c:pt idx="29">
                        <c:v>9055.4534000000131</c:v>
                      </c:pt>
                      <c:pt idx="30">
                        <c:v>8989.2808000000077</c:v>
                      </c:pt>
                      <c:pt idx="31">
                        <c:v>8925.2428000000073</c:v>
                      </c:pt>
                      <c:pt idx="32">
                        <c:v>8859.0702000000019</c:v>
                      </c:pt>
                      <c:pt idx="33">
                        <c:v>8792.8976000000112</c:v>
                      </c:pt>
                      <c:pt idx="34">
                        <c:v>8728.8596000000107</c:v>
                      </c:pt>
                      <c:pt idx="35">
                        <c:v>8662.6870000000054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B5-8B96-4D1E-9034-1734BBEF63B9}"/>
                  </c:ext>
                </c:extLst>
              </c15:ser>
            </c15:filteredScatterSeries>
          </c:ext>
        </c:extLst>
      </c:scatterChart>
      <c:valAx>
        <c:axId val="1563939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156394344"/>
        <c:crosses val="autoZero"/>
        <c:crossBetween val="midCat"/>
        <c:majorUnit val="365.5"/>
      </c:valAx>
      <c:valAx>
        <c:axId val="1563943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Distance Between Failure*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56393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46117</xdr:colOff>
      <xdr:row>0</xdr:row>
      <xdr:rowOff>58615</xdr:rowOff>
    </xdr:from>
    <xdr:to>
      <xdr:col>25</xdr:col>
      <xdr:colOff>186189</xdr:colOff>
      <xdr:row>31</xdr:row>
      <xdr:rowOff>153865</xdr:rowOff>
    </xdr:to>
    <xdr:graphicFrame macro="">
      <xdr:nvGraphicFramePr>
        <xdr:cNvPr id="2" name="Chart 1" descr="&#10;&#10;&#10;&#10;&#10;oo">
          <a:extLst>
            <a:ext uri="{FF2B5EF4-FFF2-40B4-BE49-F238E27FC236}">
              <a16:creationId xmlns:a16="http://schemas.microsoft.com/office/drawing/2014/main" id="{6D0E559C-BFC8-4560-8824-4892309BE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0.7876</cdr:x>
      <cdr:y>0.12118</cdr:y>
    </cdr:from>
    <cdr:to>
      <cdr:x>0.90614</cdr:x>
      <cdr:y>0.79805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7710312" y="931620"/>
          <a:ext cx="1160463" cy="520369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tx2">
                <a:alpha val="0"/>
              </a:schemeClr>
            </a:gs>
            <a:gs pos="100000">
              <a:schemeClr val="tx2">
                <a:alpha val="42000"/>
              </a:schemeClr>
            </a:gs>
          </a:gsLst>
          <a:lin ang="5400000" scaled="0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ctr"/>
          <a:r>
            <a:rPr lang="en-US" sz="1400">
              <a:solidFill>
                <a:sysClr val="windowText" lastClr="000000"/>
              </a:solidFill>
            </a:rPr>
            <a:t>Midlife</a:t>
          </a:r>
          <a:r>
            <a:rPr lang="en-US" sz="1400" baseline="0">
              <a:solidFill>
                <a:sysClr val="windowText" lastClr="000000"/>
              </a:solidFill>
            </a:rPr>
            <a:t> Overhaul</a:t>
          </a:r>
          <a:endParaRPr lang="en-US" sz="14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0.30551</cdr:x>
      <cdr:y>0.27767</cdr:y>
    </cdr:from>
    <cdr:to>
      <cdr:x>0.38564</cdr:x>
      <cdr:y>0.46408</cdr:y>
    </cdr:to>
    <cdr:sp macro="" textlink="">
      <cdr:nvSpPr>
        <cdr:cNvPr id="13" name="TextBox 12"/>
        <cdr:cNvSpPr txBox="1"/>
      </cdr:nvSpPr>
      <cdr:spPr>
        <a:xfrm xmlns:a="http://schemas.openxmlformats.org/drawingml/2006/main">
          <a:off x="3486150" y="13620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0.09031</cdr:x>
      <cdr:y>0.90983</cdr:y>
    </cdr:from>
    <cdr:to>
      <cdr:x>0.19338</cdr:x>
      <cdr:y>0.96837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01221" y="5398994"/>
          <a:ext cx="914400" cy="347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0.09663</cdr:x>
      <cdr:y>0.72505</cdr:y>
    </cdr:from>
    <cdr:to>
      <cdr:x>0.1997</cdr:x>
      <cdr:y>0.87914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57249" y="4302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0.08805</cdr:x>
      <cdr:y>0.88965</cdr:y>
    </cdr:from>
    <cdr:to>
      <cdr:x>0.18655</cdr:x>
      <cdr:y>0.97494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17425" y="7440124"/>
          <a:ext cx="914481" cy="713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0.08884</cdr:x>
      <cdr:y>0.00667</cdr:y>
    </cdr:from>
    <cdr:to>
      <cdr:x>0.30963</cdr:x>
      <cdr:y>0.13001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D3668B4-D8BB-4CEA-8BFA-E32E19895C38}"/>
            </a:ext>
          </a:extLst>
        </cdr:cNvPr>
        <cdr:cNvSpPr txBox="1"/>
      </cdr:nvSpPr>
      <cdr:spPr>
        <a:xfrm xmlns:a="http://schemas.openxmlformats.org/drawingml/2006/main" rot="10800000" flipV="1">
          <a:off x="869747" y="35341"/>
          <a:ext cx="2161442" cy="65339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/>
            <a:t>Pre-Overhaul</a:t>
          </a:r>
        </a:p>
        <a:p xmlns:a="http://schemas.openxmlformats.org/drawingml/2006/main">
          <a:pPr algn="ctr"/>
          <a:r>
            <a:rPr lang="en-US" sz="1200" b="1"/>
            <a:t>Avg. Rate of Decline:</a:t>
          </a:r>
        </a:p>
        <a:p xmlns:a="http://schemas.openxmlformats.org/drawingml/2006/main">
          <a:pPr algn="ctr"/>
          <a:r>
            <a:rPr lang="en-US" sz="1200" b="1">
              <a:solidFill>
                <a:schemeClr val="accent1"/>
              </a:solidFill>
            </a:rPr>
            <a:t>780 miles/yr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D5C7ED-CB0B-437F-9E0D-A5221792C7EF}" name="Table4" displayName="Table4" ref="C5:D369" totalsRowShown="0" headerRowDxfId="6" dataDxfId="5" headerRowBorderDxfId="3" tableBorderDxfId="4" totalsRowBorderDxfId="2">
  <autoFilter ref="C5:D369" xr:uid="{053AFEC1-96D8-45FE-8055-E426167D5DA5}"/>
  <tableColumns count="2">
    <tableColumn id="1" xr3:uid="{41E6AF92-DB2F-40B3-A40C-B50896E98CC8}" name="ITEM DESCRIPTION" dataDxfId="1"/>
    <tableColumn id="2" xr3:uid="{B6202B41-D472-480B-B7F5-A4105F95830B}" name="OCCURRE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E629-EBA4-4BFD-85CA-691A5176564F}">
  <sheetPr>
    <tabColor rgb="FFFFFF00"/>
  </sheetPr>
  <dimension ref="A1:AH201"/>
  <sheetViews>
    <sheetView tabSelected="1" topLeftCell="G1" zoomScale="130" zoomScaleNormal="130" workbookViewId="0">
      <selection activeCell="I27" sqref="I27"/>
    </sheetView>
  </sheetViews>
  <sheetFormatPr defaultRowHeight="14.45"/>
  <cols>
    <col min="1" max="1" width="13.5703125" customWidth="1"/>
    <col min="2" max="2" width="11.5703125" customWidth="1"/>
    <col min="4" max="4" width="9.5703125" bestFit="1" customWidth="1"/>
    <col min="7" max="7" width="10.5703125" style="1" bestFit="1" customWidth="1"/>
    <col min="9" max="9" width="21.42578125" customWidth="1"/>
    <col min="10" max="10" width="11" bestFit="1" customWidth="1"/>
    <col min="15" max="15" width="12" customWidth="1"/>
    <col min="17" max="17" width="11.42578125" customWidth="1"/>
    <col min="24" max="24" width="11.85546875" customWidth="1"/>
    <col min="27" max="27" width="12.5703125" customWidth="1"/>
    <col min="30" max="30" width="11.140625" customWidth="1"/>
  </cols>
  <sheetData>
    <row r="1" spans="1:34">
      <c r="G1" s="1" t="s">
        <v>0</v>
      </c>
      <c r="H1" s="12" t="s">
        <v>1</v>
      </c>
      <c r="I1" s="12" t="s">
        <v>1</v>
      </c>
      <c r="K1" s="6"/>
    </row>
    <row r="2" spans="1:34">
      <c r="K2" s="6"/>
    </row>
    <row r="3" spans="1:34">
      <c r="K3" s="6"/>
    </row>
    <row r="4" spans="1:34">
      <c r="I4" t="s">
        <v>1</v>
      </c>
      <c r="K4" s="6"/>
      <c r="X4" s="17"/>
      <c r="Y4" s="17"/>
    </row>
    <row r="5" spans="1:34">
      <c r="D5" s="27" t="s">
        <v>2</v>
      </c>
      <c r="E5" s="27"/>
      <c r="I5" s="10" t="s">
        <v>3</v>
      </c>
      <c r="X5" s="18"/>
      <c r="Y5" s="19"/>
    </row>
    <row r="6" spans="1:34">
      <c r="A6" s="13" t="s">
        <v>4</v>
      </c>
      <c r="B6" s="13" t="s">
        <v>5</v>
      </c>
      <c r="C6" s="13" t="s">
        <v>6</v>
      </c>
      <c r="D6" s="29" t="s">
        <v>7</v>
      </c>
      <c r="E6" s="8" t="s">
        <v>8</v>
      </c>
      <c r="F6" s="7" t="s">
        <v>9</v>
      </c>
      <c r="G6" s="9" t="s">
        <v>10</v>
      </c>
      <c r="J6" s="30"/>
      <c r="K6" s="30"/>
      <c r="X6" s="18"/>
      <c r="Y6" s="19"/>
      <c r="AA6" s="17"/>
      <c r="AB6" s="17"/>
      <c r="AC6" s="20"/>
      <c r="AD6" s="20"/>
      <c r="AF6" s="20"/>
      <c r="AG6" s="20"/>
      <c r="AH6" s="20"/>
    </row>
    <row r="7" spans="1:34">
      <c r="A7" s="16">
        <v>42339</v>
      </c>
      <c r="B7" s="21">
        <v>8912.2000000000007</v>
      </c>
      <c r="C7">
        <v>1</v>
      </c>
      <c r="D7" s="1">
        <f t="shared" ref="D7:D58" si="0">B7/C7</f>
        <v>8912.2000000000007</v>
      </c>
      <c r="G7" s="1">
        <f>SUM(B$7:B$7)/SUM(C$7:C$7)</f>
        <v>8912.2000000000007</v>
      </c>
      <c r="H7" s="3">
        <f>(-2.1346*A7+101315)</f>
        <v>10938.170600000012</v>
      </c>
      <c r="X7" s="18"/>
      <c r="Y7" s="19"/>
      <c r="AA7" s="18"/>
      <c r="AB7" s="19"/>
    </row>
    <row r="8" spans="1:34">
      <c r="A8" s="16">
        <v>42370</v>
      </c>
      <c r="B8" s="22">
        <v>4254.6000000000004</v>
      </c>
      <c r="C8">
        <v>1</v>
      </c>
      <c r="D8" s="1">
        <f t="shared" si="0"/>
        <v>4254.6000000000004</v>
      </c>
      <c r="G8" s="1">
        <f>SUM(B$8:B$19)/SUM(C$8:C$19)</f>
        <v>10927.918374558305</v>
      </c>
      <c r="H8" s="3">
        <f t="shared" ref="H8:H70" si="1">(-2.1346*A8+101315)</f>
        <v>10871.998000000007</v>
      </c>
      <c r="I8" s="2" t="e">
        <f>#REF!-H8</f>
        <v>#REF!</v>
      </c>
      <c r="J8" s="11" t="e">
        <f>H8/#REF!</f>
        <v>#REF!</v>
      </c>
      <c r="X8" s="18"/>
      <c r="Y8" s="19"/>
      <c r="AA8" s="18"/>
      <c r="AB8" s="19"/>
    </row>
    <row r="9" spans="1:34">
      <c r="A9" s="16">
        <v>42401</v>
      </c>
      <c r="B9" s="21">
        <v>34515.800000000003</v>
      </c>
      <c r="C9">
        <v>2</v>
      </c>
      <c r="D9" s="1">
        <f t="shared" si="0"/>
        <v>17257.900000000001</v>
      </c>
      <c r="G9" s="1">
        <f t="shared" ref="G9:G19" si="2">SUM(B$8:B$19)/SUM(C$8:C$19)</f>
        <v>10927.918374558305</v>
      </c>
      <c r="H9" s="3">
        <f t="shared" si="1"/>
        <v>10805.825400000002</v>
      </c>
      <c r="X9" s="18"/>
      <c r="Y9" s="19"/>
      <c r="AA9" s="18"/>
      <c r="AB9" s="19"/>
    </row>
    <row r="10" spans="1:34">
      <c r="A10" s="16">
        <v>42430</v>
      </c>
      <c r="B10" s="22">
        <v>69323.199999999997</v>
      </c>
      <c r="C10">
        <v>9</v>
      </c>
      <c r="D10" s="1">
        <f t="shared" si="0"/>
        <v>7702.5777777777776</v>
      </c>
      <c r="G10" s="1">
        <f t="shared" si="2"/>
        <v>10927.918374558305</v>
      </c>
      <c r="H10" s="3">
        <f t="shared" si="1"/>
        <v>10743.922000000006</v>
      </c>
      <c r="X10" s="18"/>
      <c r="Y10" s="19"/>
      <c r="AA10" s="18"/>
      <c r="AB10" s="19"/>
    </row>
    <row r="11" spans="1:34">
      <c r="A11" s="16">
        <v>42461</v>
      </c>
      <c r="B11" s="21">
        <v>135292.70000000001</v>
      </c>
      <c r="C11">
        <v>12</v>
      </c>
      <c r="D11" s="1">
        <f t="shared" si="0"/>
        <v>11274.391666666668</v>
      </c>
      <c r="G11" s="1">
        <f t="shared" si="2"/>
        <v>10927.918374558305</v>
      </c>
      <c r="H11" s="3">
        <f t="shared" si="1"/>
        <v>10677.749400000001</v>
      </c>
      <c r="X11" s="18"/>
      <c r="Y11" s="19"/>
      <c r="AA11" s="18"/>
      <c r="AB11" s="19"/>
    </row>
    <row r="12" spans="1:34">
      <c r="A12" s="16">
        <v>42491</v>
      </c>
      <c r="B12" s="22">
        <v>153332.20000000001</v>
      </c>
      <c r="C12">
        <v>21</v>
      </c>
      <c r="D12" s="1">
        <f t="shared" si="0"/>
        <v>7301.5333333333338</v>
      </c>
      <c r="G12" s="1">
        <f t="shared" si="2"/>
        <v>10927.918374558305</v>
      </c>
      <c r="H12" s="3">
        <f t="shared" si="1"/>
        <v>10613.7114</v>
      </c>
      <c r="I12" s="2"/>
      <c r="J12" s="11"/>
      <c r="X12" s="18"/>
      <c r="Y12" s="19"/>
      <c r="AA12" s="18"/>
      <c r="AB12" s="19"/>
    </row>
    <row r="13" spans="1:34">
      <c r="A13" s="16">
        <v>42522</v>
      </c>
      <c r="B13" s="21">
        <v>218411</v>
      </c>
      <c r="C13">
        <v>21</v>
      </c>
      <c r="D13" s="1">
        <f t="shared" si="0"/>
        <v>10400.523809523809</v>
      </c>
      <c r="G13" s="1">
        <f t="shared" si="2"/>
        <v>10927.918374558305</v>
      </c>
      <c r="H13" s="3">
        <f t="shared" si="1"/>
        <v>10547.538800000009</v>
      </c>
      <c r="X13" s="18"/>
      <c r="Y13" s="19"/>
      <c r="AA13" s="18"/>
      <c r="AB13" s="19"/>
    </row>
    <row r="14" spans="1:34">
      <c r="A14" s="16">
        <v>42552</v>
      </c>
      <c r="B14" s="22">
        <v>285175.40000000002</v>
      </c>
      <c r="C14">
        <v>20</v>
      </c>
      <c r="D14" s="1">
        <f t="shared" si="0"/>
        <v>14258.77</v>
      </c>
      <c r="G14" s="1">
        <f t="shared" si="2"/>
        <v>10927.918374558305</v>
      </c>
      <c r="H14" s="3">
        <f t="shared" si="1"/>
        <v>10483.500800000009</v>
      </c>
      <c r="X14" s="18"/>
      <c r="Y14" s="19"/>
      <c r="AA14" s="18"/>
      <c r="AB14" s="19"/>
    </row>
    <row r="15" spans="1:34" s="4" customFormat="1">
      <c r="A15" s="16">
        <v>42583</v>
      </c>
      <c r="B15" s="21">
        <v>345364.2</v>
      </c>
      <c r="C15">
        <v>31</v>
      </c>
      <c r="D15" s="5">
        <f t="shared" si="0"/>
        <v>11140.780645161291</v>
      </c>
      <c r="G15" s="1">
        <f t="shared" si="2"/>
        <v>10927.918374558305</v>
      </c>
      <c r="H15" s="3">
        <f t="shared" si="1"/>
        <v>10417.328200000004</v>
      </c>
      <c r="X15" s="18"/>
      <c r="Y15" s="19"/>
      <c r="Z15"/>
      <c r="AA15" s="18"/>
      <c r="AB15" s="19"/>
      <c r="AC15"/>
      <c r="AD15"/>
      <c r="AE15"/>
      <c r="AF15"/>
      <c r="AG15"/>
      <c r="AH15"/>
    </row>
    <row r="16" spans="1:34">
      <c r="A16" s="16">
        <v>42614</v>
      </c>
      <c r="B16" s="22">
        <v>391679.9</v>
      </c>
      <c r="C16">
        <v>28</v>
      </c>
      <c r="D16" s="1">
        <f t="shared" si="0"/>
        <v>13988.567857142858</v>
      </c>
      <c r="G16" s="1">
        <f t="shared" si="2"/>
        <v>10927.918374558305</v>
      </c>
      <c r="H16" s="3">
        <f t="shared" si="1"/>
        <v>10351.155600000013</v>
      </c>
      <c r="X16" s="18"/>
      <c r="Y16" s="19"/>
      <c r="AA16" s="18"/>
      <c r="AB16" s="19"/>
    </row>
    <row r="17" spans="1:28">
      <c r="A17" s="16">
        <v>42644</v>
      </c>
      <c r="B17" s="21">
        <v>453022.8</v>
      </c>
      <c r="C17">
        <v>40</v>
      </c>
      <c r="D17" s="1">
        <f t="shared" si="0"/>
        <v>11325.57</v>
      </c>
      <c r="G17" s="1">
        <f t="shared" si="2"/>
        <v>10927.918374558305</v>
      </c>
      <c r="H17" s="3">
        <f t="shared" si="1"/>
        <v>10287.117600000012</v>
      </c>
      <c r="X17" s="18"/>
      <c r="Y17" s="19"/>
      <c r="AA17" s="18"/>
      <c r="AB17" s="19"/>
    </row>
    <row r="18" spans="1:28">
      <c r="A18" s="16">
        <v>42675</v>
      </c>
      <c r="B18" s="22">
        <v>481065.9</v>
      </c>
      <c r="C18">
        <v>42</v>
      </c>
      <c r="D18" s="1">
        <f t="shared" si="0"/>
        <v>11453.95</v>
      </c>
      <c r="G18" s="1">
        <f t="shared" si="2"/>
        <v>10927.918374558305</v>
      </c>
      <c r="H18" s="3">
        <f t="shared" si="1"/>
        <v>10220.945000000007</v>
      </c>
      <c r="X18" s="18"/>
      <c r="Y18" s="19"/>
      <c r="AA18" s="18"/>
      <c r="AB18" s="19"/>
    </row>
    <row r="19" spans="1:28">
      <c r="A19" s="16">
        <v>42705</v>
      </c>
      <c r="B19" s="21">
        <v>521163.2</v>
      </c>
      <c r="C19">
        <v>56</v>
      </c>
      <c r="D19" s="1">
        <f t="shared" si="0"/>
        <v>9306.4857142857145</v>
      </c>
      <c r="G19" s="1">
        <f t="shared" si="2"/>
        <v>10927.918374558305</v>
      </c>
      <c r="H19" s="3">
        <f t="shared" si="1"/>
        <v>10156.907000000007</v>
      </c>
      <c r="X19" s="18"/>
      <c r="Y19" s="19"/>
      <c r="AA19" s="18"/>
      <c r="AB19" s="19"/>
    </row>
    <row r="20" spans="1:28">
      <c r="A20" s="16">
        <v>42736</v>
      </c>
      <c r="B20" s="22">
        <v>521121</v>
      </c>
      <c r="C20">
        <v>67</v>
      </c>
      <c r="D20" s="1">
        <f t="shared" si="0"/>
        <v>7777.9253731343288</v>
      </c>
      <c r="G20" s="1">
        <f t="shared" ref="G20:G30" si="3">SUM(B$20:B$31)/SUM(C$20:C$31)</f>
        <v>10028.4474852071</v>
      </c>
      <c r="H20" s="3">
        <f t="shared" si="1"/>
        <v>10090.734400000001</v>
      </c>
      <c r="I20" s="2">
        <f>H8-H20</f>
        <v>781.26360000000568</v>
      </c>
      <c r="J20" s="11">
        <f>H20/H8</f>
        <v>0.9281398322553035</v>
      </c>
      <c r="X20" s="18"/>
      <c r="Y20" s="19"/>
      <c r="AA20" s="18"/>
      <c r="AB20" s="19"/>
    </row>
    <row r="21" spans="1:28">
      <c r="A21" s="16">
        <v>42767</v>
      </c>
      <c r="B21" s="21">
        <v>473620.2</v>
      </c>
      <c r="C21">
        <v>36</v>
      </c>
      <c r="D21" s="1">
        <f t="shared" si="0"/>
        <v>13156.116666666667</v>
      </c>
      <c r="G21" s="1">
        <f t="shared" si="3"/>
        <v>10028.4474852071</v>
      </c>
      <c r="H21" s="3">
        <f t="shared" si="1"/>
        <v>10024.56180000001</v>
      </c>
      <c r="X21" s="18"/>
      <c r="Y21" s="19"/>
      <c r="AA21" s="18"/>
      <c r="AB21" s="19"/>
    </row>
    <row r="22" spans="1:28">
      <c r="A22" s="16">
        <v>42795</v>
      </c>
      <c r="B22" s="22">
        <v>562482.5</v>
      </c>
      <c r="C22">
        <v>63</v>
      </c>
      <c r="D22" s="1">
        <f t="shared" si="0"/>
        <v>8928.2936507936502</v>
      </c>
      <c r="G22" s="1">
        <f t="shared" si="3"/>
        <v>10028.4474852071</v>
      </c>
      <c r="H22" s="3">
        <f t="shared" si="1"/>
        <v>9964.7930000000051</v>
      </c>
      <c r="X22" s="18"/>
      <c r="Y22" s="19"/>
      <c r="AA22" s="18"/>
      <c r="AB22" s="19"/>
    </row>
    <row r="23" spans="1:28">
      <c r="A23" s="16">
        <v>42826</v>
      </c>
      <c r="B23" s="21">
        <v>546637</v>
      </c>
      <c r="C23">
        <v>45</v>
      </c>
      <c r="D23" s="1">
        <f t="shared" si="0"/>
        <v>12147.488888888889</v>
      </c>
      <c r="G23" s="1">
        <f t="shared" si="3"/>
        <v>10028.4474852071</v>
      </c>
      <c r="H23" s="3">
        <f t="shared" si="1"/>
        <v>9898.6204000000143</v>
      </c>
      <c r="X23" s="18"/>
      <c r="Y23" s="19"/>
      <c r="AA23" s="18"/>
      <c r="AB23" s="19"/>
    </row>
    <row r="24" spans="1:28">
      <c r="A24" s="16">
        <v>42856</v>
      </c>
      <c r="B24" s="22">
        <v>559456.30000000005</v>
      </c>
      <c r="C24">
        <v>47</v>
      </c>
      <c r="D24" s="1">
        <f t="shared" si="0"/>
        <v>11903.325531914894</v>
      </c>
      <c r="G24" s="1">
        <f t="shared" si="3"/>
        <v>10028.4474852071</v>
      </c>
      <c r="H24" s="3">
        <f t="shared" si="1"/>
        <v>9834.5824000000139</v>
      </c>
      <c r="I24" s="2"/>
      <c r="J24" s="11"/>
      <c r="X24" s="18"/>
      <c r="Y24" s="19"/>
      <c r="AA24" s="18"/>
      <c r="AB24" s="19"/>
    </row>
    <row r="25" spans="1:28">
      <c r="A25" s="16">
        <v>42887</v>
      </c>
      <c r="B25" s="21">
        <v>570004.69999999995</v>
      </c>
      <c r="C25">
        <v>44</v>
      </c>
      <c r="D25" s="1">
        <f t="shared" si="0"/>
        <v>12954.652272727271</v>
      </c>
      <c r="G25" s="1">
        <f t="shared" si="3"/>
        <v>10028.4474852071</v>
      </c>
      <c r="H25" s="3">
        <f t="shared" si="1"/>
        <v>9768.4098000000085</v>
      </c>
      <c r="X25" s="18"/>
      <c r="Y25" s="19"/>
      <c r="AA25" s="18"/>
      <c r="AB25" s="19"/>
    </row>
    <row r="26" spans="1:28">
      <c r="A26" s="16">
        <v>42917</v>
      </c>
      <c r="B26" s="22">
        <v>584777.30000000005</v>
      </c>
      <c r="C26">
        <v>42</v>
      </c>
      <c r="D26" s="1">
        <f t="shared" si="0"/>
        <v>13923.269047619049</v>
      </c>
      <c r="G26" s="1">
        <f t="shared" si="3"/>
        <v>10028.4474852071</v>
      </c>
      <c r="H26" s="3">
        <f t="shared" si="1"/>
        <v>9704.3718000000081</v>
      </c>
      <c r="X26" s="18"/>
      <c r="Y26" s="19"/>
      <c r="AA26" s="18"/>
      <c r="AB26" s="19"/>
    </row>
    <row r="27" spans="1:28">
      <c r="A27" s="16">
        <v>42948</v>
      </c>
      <c r="B27" s="21">
        <v>604748</v>
      </c>
      <c r="C27">
        <v>39</v>
      </c>
      <c r="D27" s="1">
        <f t="shared" si="0"/>
        <v>15506.358974358975</v>
      </c>
      <c r="E27" s="1"/>
      <c r="G27" s="1">
        <f t="shared" si="3"/>
        <v>10028.4474852071</v>
      </c>
      <c r="H27" s="3">
        <f t="shared" si="1"/>
        <v>9638.1992000000027</v>
      </c>
      <c r="X27" s="18"/>
      <c r="Y27" s="19"/>
      <c r="AA27" s="18"/>
      <c r="AB27" s="19"/>
    </row>
    <row r="28" spans="1:28">
      <c r="A28" s="16">
        <v>42979</v>
      </c>
      <c r="B28" s="22">
        <v>576024.4</v>
      </c>
      <c r="C28">
        <v>64</v>
      </c>
      <c r="D28" s="1">
        <f t="shared" si="0"/>
        <v>9000.3812500000004</v>
      </c>
      <c r="E28" s="1"/>
      <c r="G28" s="1">
        <f t="shared" si="3"/>
        <v>10028.4474852071</v>
      </c>
      <c r="H28" s="3">
        <f t="shared" si="1"/>
        <v>9572.026600000012</v>
      </c>
      <c r="X28" s="18"/>
      <c r="Y28" s="19"/>
      <c r="AA28" s="18"/>
      <c r="AB28" s="19"/>
    </row>
    <row r="29" spans="1:28">
      <c r="A29" s="16">
        <v>43009</v>
      </c>
      <c r="B29" s="21">
        <v>600260.1</v>
      </c>
      <c r="C29">
        <v>86</v>
      </c>
      <c r="D29" s="1">
        <f t="shared" si="0"/>
        <v>6979.7686046511626</v>
      </c>
      <c r="E29" s="8"/>
      <c r="G29" s="1">
        <f t="shared" si="3"/>
        <v>10028.4474852071</v>
      </c>
      <c r="H29" s="3">
        <f t="shared" si="1"/>
        <v>9507.9886000000115</v>
      </c>
      <c r="X29" s="18"/>
      <c r="Y29" s="19"/>
      <c r="AA29" s="18"/>
      <c r="AB29" s="19"/>
    </row>
    <row r="30" spans="1:28">
      <c r="A30" s="16">
        <v>43040</v>
      </c>
      <c r="B30" s="22">
        <v>579718.30000000005</v>
      </c>
      <c r="C30">
        <v>51</v>
      </c>
      <c r="D30" s="1">
        <f t="shared" si="0"/>
        <v>11367.02549019608</v>
      </c>
      <c r="E30" s="1"/>
      <c r="G30" s="1">
        <f t="shared" si="3"/>
        <v>10028.4474852071</v>
      </c>
      <c r="H30" s="3">
        <f t="shared" si="1"/>
        <v>9441.8160000000062</v>
      </c>
      <c r="X30" s="18"/>
      <c r="Y30" s="19"/>
      <c r="AA30" s="18"/>
      <c r="AB30" s="19"/>
    </row>
    <row r="31" spans="1:28">
      <c r="A31" s="16">
        <v>43070</v>
      </c>
      <c r="B31" s="21">
        <v>600380.69999999995</v>
      </c>
      <c r="C31">
        <v>92</v>
      </c>
      <c r="D31" s="1">
        <f t="shared" si="0"/>
        <v>6525.8771739130434</v>
      </c>
      <c r="E31" s="1"/>
      <c r="G31" s="1">
        <f>SUM(B$20:B$31)/SUM(C$20:C$31)</f>
        <v>10028.4474852071</v>
      </c>
      <c r="H31" s="3">
        <f t="shared" si="1"/>
        <v>9377.7780000000057</v>
      </c>
      <c r="X31" s="18"/>
      <c r="Y31" s="19"/>
      <c r="AA31" s="18"/>
      <c r="AB31" s="19"/>
    </row>
    <row r="32" spans="1:28">
      <c r="A32" s="16">
        <v>43101</v>
      </c>
      <c r="B32" s="22">
        <v>590384.19999999995</v>
      </c>
      <c r="C32">
        <v>123</v>
      </c>
      <c r="D32" s="1">
        <f t="shared" si="0"/>
        <v>4799.8715447154464</v>
      </c>
      <c r="E32" s="1"/>
      <c r="G32" s="1">
        <f>SUM(B$32:B$43)/SUM(C$32:C$43)</f>
        <v>7220.8971250000004</v>
      </c>
      <c r="H32" s="3">
        <f t="shared" si="1"/>
        <v>9311.6054000000004</v>
      </c>
      <c r="I32" s="2">
        <f>H20-H32</f>
        <v>779.12900000000081</v>
      </c>
      <c r="J32" s="11">
        <f>H32/H20</f>
        <v>0.92278768134061673</v>
      </c>
      <c r="X32" s="18"/>
      <c r="Y32" s="19"/>
      <c r="AA32" s="18"/>
      <c r="AB32" s="19"/>
    </row>
    <row r="33" spans="1:34">
      <c r="A33" s="16">
        <v>43132</v>
      </c>
      <c r="B33" s="21">
        <v>547133</v>
      </c>
      <c r="C33">
        <v>74</v>
      </c>
      <c r="D33" s="1">
        <f t="shared" si="0"/>
        <v>7393.6891891891892</v>
      </c>
      <c r="E33" s="1"/>
      <c r="G33" s="1">
        <f t="shared" ref="G33:G43" si="4">SUM(B$32:B$43)/SUM(C$32:C$43)</f>
        <v>7220.8971250000004</v>
      </c>
      <c r="H33" s="3">
        <f t="shared" si="1"/>
        <v>9245.4328000000096</v>
      </c>
      <c r="X33" s="18"/>
      <c r="Y33" s="19"/>
      <c r="AA33" s="18"/>
      <c r="AB33" s="19"/>
    </row>
    <row r="34" spans="1:34">
      <c r="A34" s="16">
        <v>43160</v>
      </c>
      <c r="B34" s="22">
        <v>529171.4</v>
      </c>
      <c r="C34">
        <v>53</v>
      </c>
      <c r="D34" s="1">
        <f t="shared" si="0"/>
        <v>9984.3660377358501</v>
      </c>
      <c r="E34" s="1"/>
      <c r="G34" s="1">
        <f t="shared" si="4"/>
        <v>7220.8971250000004</v>
      </c>
      <c r="H34" s="3">
        <f t="shared" si="1"/>
        <v>9185.6640000000043</v>
      </c>
      <c r="X34" s="18"/>
      <c r="Y34" s="19"/>
      <c r="AA34" s="18"/>
      <c r="AB34" s="19"/>
    </row>
    <row r="35" spans="1:34">
      <c r="A35" s="16">
        <v>43191</v>
      </c>
      <c r="B35" s="21">
        <v>159054.6</v>
      </c>
      <c r="C35">
        <v>21</v>
      </c>
      <c r="D35" s="1">
        <f t="shared" si="0"/>
        <v>7574.0285714285719</v>
      </c>
      <c r="E35" s="1"/>
      <c r="G35" s="1">
        <f t="shared" si="4"/>
        <v>7220.8971250000004</v>
      </c>
      <c r="H35" s="3">
        <f t="shared" si="1"/>
        <v>9119.4914000000135</v>
      </c>
      <c r="X35" s="18"/>
      <c r="Y35" s="19"/>
      <c r="AA35" s="18"/>
      <c r="AB35" s="19"/>
    </row>
    <row r="36" spans="1:34">
      <c r="A36" s="16">
        <v>43221</v>
      </c>
      <c r="B36" s="22">
        <v>559905</v>
      </c>
      <c r="C36">
        <v>70</v>
      </c>
      <c r="D36" s="1">
        <f t="shared" si="0"/>
        <v>7998.6428571428569</v>
      </c>
      <c r="E36" s="1"/>
      <c r="G36" s="1">
        <f t="shared" si="4"/>
        <v>7220.8971250000004</v>
      </c>
      <c r="H36" s="3">
        <f t="shared" si="1"/>
        <v>9055.4534000000131</v>
      </c>
      <c r="I36" s="2"/>
      <c r="J36" s="11"/>
      <c r="X36" s="18"/>
      <c r="Y36" s="19"/>
      <c r="AA36" s="18"/>
      <c r="AB36" s="19"/>
    </row>
    <row r="37" spans="1:34">
      <c r="A37" s="16">
        <v>43252</v>
      </c>
      <c r="B37" s="21">
        <v>533422.30000000005</v>
      </c>
      <c r="C37">
        <v>53</v>
      </c>
      <c r="D37" s="1">
        <f t="shared" si="0"/>
        <v>10064.571698113208</v>
      </c>
      <c r="E37" s="1"/>
      <c r="G37" s="1">
        <f t="shared" si="4"/>
        <v>7220.8971250000004</v>
      </c>
      <c r="H37" s="3">
        <f t="shared" si="1"/>
        <v>8989.2808000000077</v>
      </c>
      <c r="T37" s="13" t="s">
        <v>11</v>
      </c>
      <c r="U37" s="13" t="s">
        <v>12</v>
      </c>
      <c r="X37" s="18"/>
      <c r="Y37" s="19"/>
      <c r="AA37" s="18"/>
      <c r="AB37" s="19"/>
    </row>
    <row r="38" spans="1:34">
      <c r="A38" s="16">
        <v>43282</v>
      </c>
      <c r="B38" s="22">
        <v>518632.3</v>
      </c>
      <c r="C38">
        <v>60</v>
      </c>
      <c r="D38" s="1">
        <f t="shared" si="0"/>
        <v>8643.871666666666</v>
      </c>
      <c r="E38" s="1"/>
      <c r="G38" s="1">
        <f t="shared" si="4"/>
        <v>7220.8971250000004</v>
      </c>
      <c r="H38" s="3">
        <f t="shared" si="1"/>
        <v>8925.2428000000073</v>
      </c>
      <c r="T38" s="14">
        <v>42370</v>
      </c>
      <c r="U38" s="13" t="s">
        <v>13</v>
      </c>
      <c r="X38" s="18"/>
      <c r="Y38" s="19"/>
      <c r="AA38" s="18"/>
      <c r="AB38" s="19"/>
    </row>
    <row r="39" spans="1:34" s="4" customFormat="1">
      <c r="A39" s="16">
        <v>43313</v>
      </c>
      <c r="B39" s="21">
        <v>497609.6</v>
      </c>
      <c r="C39">
        <v>65</v>
      </c>
      <c r="D39" s="1">
        <f t="shared" si="0"/>
        <v>7655.5323076923078</v>
      </c>
      <c r="E39" s="5"/>
      <c r="G39" s="1">
        <f t="shared" si="4"/>
        <v>7220.8971250000004</v>
      </c>
      <c r="H39" s="3">
        <f t="shared" si="1"/>
        <v>8859.0702000000019</v>
      </c>
      <c r="T39" s="14">
        <v>42401</v>
      </c>
      <c r="U39" s="15">
        <v>27</v>
      </c>
      <c r="X39" s="18"/>
      <c r="Y39" s="19"/>
      <c r="Z39"/>
      <c r="AA39" s="18"/>
      <c r="AB39" s="19"/>
      <c r="AC39"/>
      <c r="AD39"/>
      <c r="AE39"/>
      <c r="AF39"/>
      <c r="AG39"/>
      <c r="AH39"/>
    </row>
    <row r="40" spans="1:34">
      <c r="A40" s="16">
        <v>43344</v>
      </c>
      <c r="B40" s="22">
        <v>450536.3</v>
      </c>
      <c r="C40">
        <v>68</v>
      </c>
      <c r="D40" s="1">
        <f t="shared" si="0"/>
        <v>6625.5338235294112</v>
      </c>
      <c r="E40" s="1"/>
      <c r="G40" s="1">
        <f t="shared" si="4"/>
        <v>7220.8971250000004</v>
      </c>
      <c r="H40" s="3">
        <f t="shared" si="1"/>
        <v>8792.8976000000112</v>
      </c>
      <c r="T40" s="14">
        <v>42430</v>
      </c>
      <c r="U40" s="15">
        <v>33</v>
      </c>
      <c r="X40" s="18"/>
      <c r="Y40" s="19"/>
      <c r="AA40" s="18"/>
      <c r="AB40" s="19"/>
    </row>
    <row r="41" spans="1:34">
      <c r="A41" s="16">
        <v>43374</v>
      </c>
      <c r="B41" s="21">
        <v>474366.5</v>
      </c>
      <c r="C41">
        <v>82</v>
      </c>
      <c r="D41" s="1">
        <f t="shared" si="0"/>
        <v>5784.957317073171</v>
      </c>
      <c r="E41" s="1"/>
      <c r="G41" s="1">
        <f t="shared" si="4"/>
        <v>7220.8971250000004</v>
      </c>
      <c r="H41" s="3">
        <f t="shared" si="1"/>
        <v>8728.8596000000107</v>
      </c>
      <c r="T41" s="14">
        <v>42461</v>
      </c>
      <c r="U41" s="15">
        <v>41</v>
      </c>
      <c r="X41" s="18"/>
      <c r="Y41" s="19"/>
      <c r="AA41" s="18"/>
      <c r="AB41" s="19"/>
    </row>
    <row r="42" spans="1:34">
      <c r="A42" s="16">
        <v>43405</v>
      </c>
      <c r="B42" s="22">
        <v>452772.4</v>
      </c>
      <c r="C42">
        <v>69</v>
      </c>
      <c r="D42" s="1">
        <f t="shared" si="0"/>
        <v>6561.9188405797104</v>
      </c>
      <c r="E42" s="1"/>
      <c r="G42" s="1">
        <f t="shared" si="4"/>
        <v>7220.8971250000004</v>
      </c>
      <c r="H42" s="3">
        <f t="shared" si="1"/>
        <v>8662.6870000000054</v>
      </c>
      <c r="T42" s="14">
        <v>42491</v>
      </c>
      <c r="U42" s="15">
        <v>36</v>
      </c>
      <c r="X42" s="18"/>
      <c r="Y42" s="19"/>
      <c r="AA42" s="18"/>
      <c r="AB42" s="19"/>
    </row>
    <row r="43" spans="1:34">
      <c r="A43" s="16">
        <v>43435</v>
      </c>
      <c r="B43" s="21">
        <v>463730.1</v>
      </c>
      <c r="C43">
        <v>62</v>
      </c>
      <c r="D43" s="1">
        <f t="shared" si="0"/>
        <v>7479.5177419354832</v>
      </c>
      <c r="E43" s="1"/>
      <c r="G43" s="1">
        <f t="shared" si="4"/>
        <v>7220.8971250000004</v>
      </c>
      <c r="H43" s="3">
        <f t="shared" si="1"/>
        <v>8598.6490000000049</v>
      </c>
      <c r="T43" s="14">
        <v>42522</v>
      </c>
      <c r="U43" s="15">
        <v>41</v>
      </c>
      <c r="X43" s="18"/>
      <c r="Y43" s="19"/>
      <c r="AA43" s="18"/>
      <c r="AB43" s="19"/>
    </row>
    <row r="44" spans="1:34">
      <c r="A44" s="16">
        <v>43466</v>
      </c>
      <c r="B44" s="22">
        <v>454364.8</v>
      </c>
      <c r="C44">
        <v>66</v>
      </c>
      <c r="D44" s="1">
        <f t="shared" si="0"/>
        <v>6884.3151515151512</v>
      </c>
      <c r="E44" s="1"/>
      <c r="G44" s="1">
        <f>SUM(B$44:B$55)/SUM(C$44:C$55)</f>
        <v>7420.138494318182</v>
      </c>
      <c r="H44" s="3">
        <f t="shared" si="1"/>
        <v>8532.4764000000141</v>
      </c>
      <c r="I44" s="2">
        <f>H32-H44</f>
        <v>779.12899999998626</v>
      </c>
      <c r="J44" s="11">
        <f>H44/H32</f>
        <v>0.91632710295047659</v>
      </c>
      <c r="T44" s="14">
        <v>42552</v>
      </c>
      <c r="U44" s="15">
        <v>59</v>
      </c>
      <c r="X44" s="18"/>
      <c r="Y44" s="19"/>
      <c r="AA44" s="18"/>
      <c r="AB44" s="19"/>
    </row>
    <row r="45" spans="1:34">
      <c r="A45" s="16">
        <v>43497</v>
      </c>
      <c r="B45" s="21">
        <v>409700.5</v>
      </c>
      <c r="C45">
        <v>60</v>
      </c>
      <c r="D45" s="1">
        <f t="shared" si="0"/>
        <v>6828.3416666666662</v>
      </c>
      <c r="E45" s="1"/>
      <c r="G45" s="1">
        <f t="shared" ref="G45:G55" si="5">SUM(B$44:B$55)/SUM(C$44:C$55)</f>
        <v>7420.138494318182</v>
      </c>
      <c r="H45" s="3">
        <f t="shared" si="1"/>
        <v>8466.3038000000088</v>
      </c>
      <c r="T45" s="14">
        <v>42583</v>
      </c>
      <c r="U45" s="15">
        <v>36</v>
      </c>
      <c r="X45" s="18"/>
      <c r="Y45" s="19"/>
      <c r="AA45" s="18"/>
      <c r="AB45" s="19"/>
    </row>
    <row r="46" spans="1:34">
      <c r="A46" s="16">
        <v>43525</v>
      </c>
      <c r="B46" s="22">
        <v>459181.7</v>
      </c>
      <c r="C46">
        <v>58</v>
      </c>
      <c r="D46" s="1">
        <f t="shared" si="0"/>
        <v>7916.9258620689661</v>
      </c>
      <c r="E46" s="1"/>
      <c r="G46" s="1">
        <f t="shared" si="5"/>
        <v>7420.138494318182</v>
      </c>
      <c r="H46" s="3">
        <f t="shared" si="1"/>
        <v>8406.5350000000035</v>
      </c>
      <c r="T46" s="14">
        <v>42614</v>
      </c>
      <c r="U46" s="15">
        <v>35</v>
      </c>
      <c r="X46" s="18"/>
      <c r="Y46" s="19"/>
      <c r="AA46" s="18"/>
      <c r="AB46" s="19"/>
    </row>
    <row r="47" spans="1:34">
      <c r="A47" s="16">
        <v>43556</v>
      </c>
      <c r="B47" s="21">
        <v>449306.6</v>
      </c>
      <c r="C47">
        <v>48</v>
      </c>
      <c r="D47" s="1">
        <f t="shared" si="0"/>
        <v>9360.5541666666668</v>
      </c>
      <c r="E47" s="1"/>
      <c r="G47" s="1">
        <f t="shared" si="5"/>
        <v>7420.138494318182</v>
      </c>
      <c r="H47" s="3">
        <f t="shared" si="1"/>
        <v>8340.3624000000127</v>
      </c>
      <c r="T47" s="14">
        <v>42644</v>
      </c>
      <c r="U47" s="15">
        <v>41</v>
      </c>
      <c r="X47" s="18"/>
      <c r="Y47" s="19"/>
      <c r="AA47" s="18"/>
      <c r="AB47" s="19"/>
    </row>
    <row r="48" spans="1:34">
      <c r="A48" s="16">
        <v>43586</v>
      </c>
      <c r="B48" s="22">
        <v>469941.4</v>
      </c>
      <c r="C48">
        <v>63</v>
      </c>
      <c r="D48" s="1">
        <f t="shared" si="0"/>
        <v>7459.3873015873023</v>
      </c>
      <c r="E48" s="1"/>
      <c r="G48" s="1">
        <f t="shared" si="5"/>
        <v>7420.138494318182</v>
      </c>
      <c r="H48" s="3">
        <f t="shared" si="1"/>
        <v>8276.3244000000122</v>
      </c>
      <c r="T48" s="14">
        <v>42675</v>
      </c>
      <c r="U48" s="15">
        <v>41</v>
      </c>
      <c r="X48" s="18"/>
      <c r="Y48" s="19"/>
      <c r="AA48" s="18"/>
      <c r="AB48" s="19"/>
    </row>
    <row r="49" spans="1:28">
      <c r="A49" s="16">
        <v>43617</v>
      </c>
      <c r="B49" s="21">
        <v>448427.6</v>
      </c>
      <c r="C49">
        <v>63</v>
      </c>
      <c r="D49" s="1">
        <f t="shared" si="0"/>
        <v>7117.8984126984124</v>
      </c>
      <c r="E49" s="1"/>
      <c r="G49" s="1">
        <f t="shared" si="5"/>
        <v>7420.138494318182</v>
      </c>
      <c r="H49" s="3">
        <f t="shared" si="1"/>
        <v>8210.1518000000069</v>
      </c>
      <c r="T49" s="14">
        <v>42705</v>
      </c>
      <c r="U49" s="15">
        <v>43</v>
      </c>
      <c r="X49" s="18"/>
      <c r="Y49" s="19"/>
      <c r="AA49" s="18"/>
      <c r="AB49" s="19"/>
    </row>
    <row r="50" spans="1:28">
      <c r="A50" s="16">
        <v>43647</v>
      </c>
      <c r="B50" s="22">
        <v>444653.3</v>
      </c>
      <c r="C50">
        <v>72</v>
      </c>
      <c r="D50" s="1">
        <f t="shared" si="0"/>
        <v>6175.7402777777779</v>
      </c>
      <c r="E50" s="1"/>
      <c r="G50" s="1">
        <f t="shared" si="5"/>
        <v>7420.138494318182</v>
      </c>
      <c r="H50" s="3">
        <f t="shared" si="1"/>
        <v>8146.1138000000064</v>
      </c>
      <c r="U50" s="15">
        <v>20</v>
      </c>
      <c r="X50" s="18"/>
      <c r="Y50" s="19"/>
      <c r="AA50" s="18"/>
      <c r="AB50" s="19"/>
    </row>
    <row r="51" spans="1:28">
      <c r="A51" s="16">
        <v>43678</v>
      </c>
      <c r="B51" s="21">
        <v>405632</v>
      </c>
      <c r="C51">
        <v>53</v>
      </c>
      <c r="D51" s="1">
        <f t="shared" si="0"/>
        <v>7653.433962264151</v>
      </c>
      <c r="E51" s="1"/>
      <c r="G51" s="1">
        <f t="shared" si="5"/>
        <v>7420.138494318182</v>
      </c>
      <c r="H51" s="3">
        <f t="shared" si="1"/>
        <v>8079.9412000000011</v>
      </c>
      <c r="X51" s="18"/>
      <c r="Y51" s="19"/>
      <c r="AA51" s="18"/>
      <c r="AB51" s="19"/>
    </row>
    <row r="52" spans="1:28">
      <c r="A52" s="16">
        <v>43709</v>
      </c>
      <c r="B52" s="22">
        <v>421198.4</v>
      </c>
      <c r="C52">
        <v>64</v>
      </c>
      <c r="D52" s="1">
        <f t="shared" si="0"/>
        <v>6581.2250000000004</v>
      </c>
      <c r="E52" s="1"/>
      <c r="G52" s="1">
        <f t="shared" si="5"/>
        <v>7420.138494318182</v>
      </c>
      <c r="H52" s="3">
        <f t="shared" si="1"/>
        <v>8013.7686000000103</v>
      </c>
      <c r="X52" s="18"/>
      <c r="Y52" s="19"/>
      <c r="AA52" s="18"/>
      <c r="AB52" s="19"/>
    </row>
    <row r="53" spans="1:28">
      <c r="A53" s="16">
        <v>43739</v>
      </c>
      <c r="B53" s="21">
        <v>430247</v>
      </c>
      <c r="C53">
        <v>68</v>
      </c>
      <c r="D53" s="1">
        <f t="shared" si="0"/>
        <v>6327.161764705882</v>
      </c>
      <c r="E53" s="1"/>
      <c r="G53" s="1">
        <f t="shared" si="5"/>
        <v>7420.138494318182</v>
      </c>
      <c r="H53" s="3">
        <f t="shared" si="1"/>
        <v>7949.7306000000099</v>
      </c>
      <c r="X53" s="18"/>
      <c r="Y53" s="19"/>
      <c r="AA53" s="18"/>
      <c r="AB53" s="19"/>
    </row>
    <row r="54" spans="1:28">
      <c r="A54" s="16">
        <v>43770</v>
      </c>
      <c r="B54" s="22">
        <v>405889.8</v>
      </c>
      <c r="C54">
        <v>38</v>
      </c>
      <c r="D54" s="1">
        <f t="shared" si="0"/>
        <v>10681.310526315789</v>
      </c>
      <c r="E54" s="1"/>
      <c r="G54" s="1">
        <f t="shared" si="5"/>
        <v>7420.138494318182</v>
      </c>
      <c r="H54" s="3">
        <f t="shared" si="1"/>
        <v>7883.5580000000045</v>
      </c>
      <c r="X54" s="18"/>
      <c r="Y54" s="19"/>
      <c r="AA54" s="18"/>
      <c r="AB54" s="19"/>
    </row>
    <row r="55" spans="1:28">
      <c r="A55" s="16">
        <v>43800</v>
      </c>
      <c r="B55" s="21">
        <v>425234.4</v>
      </c>
      <c r="C55">
        <v>51</v>
      </c>
      <c r="D55" s="1">
        <f t="shared" si="0"/>
        <v>8337.9294117647059</v>
      </c>
      <c r="E55" s="1"/>
      <c r="G55" s="1">
        <f t="shared" si="5"/>
        <v>7420.138494318182</v>
      </c>
      <c r="H55" s="3">
        <f t="shared" si="1"/>
        <v>7819.5200000000041</v>
      </c>
      <c r="X55" s="18"/>
      <c r="Y55" s="19"/>
      <c r="AA55" s="18"/>
      <c r="AB55" s="19"/>
    </row>
    <row r="56" spans="1:28" ht="15">
      <c r="A56" s="16">
        <v>43831</v>
      </c>
      <c r="B56" s="22">
        <v>438924.5</v>
      </c>
      <c r="C56">
        <v>56</v>
      </c>
      <c r="D56" s="1">
        <f t="shared" si="0"/>
        <v>7837.9375</v>
      </c>
      <c r="E56" s="1"/>
      <c r="G56" s="1">
        <f>SUM(B$56:B$67)/SUM(C$56:C$67)</f>
        <v>7700.5435555555559</v>
      </c>
      <c r="H56" s="3">
        <f t="shared" si="1"/>
        <v>7753.3474000000133</v>
      </c>
      <c r="I56" s="2">
        <f>H44-H56</f>
        <v>779.12900000000081</v>
      </c>
      <c r="J56" s="11">
        <f>H56/H44</f>
        <v>0.90868665045472619</v>
      </c>
      <c r="K56" s="10" t="s">
        <v>14</v>
      </c>
      <c r="X56" s="18"/>
      <c r="Y56" s="19"/>
      <c r="AA56" s="18"/>
      <c r="AB56" s="19"/>
    </row>
    <row r="57" spans="1:28">
      <c r="A57" s="16">
        <v>43862</v>
      </c>
      <c r="B57" s="21">
        <v>428988.8</v>
      </c>
      <c r="C57">
        <v>65</v>
      </c>
      <c r="D57" s="1">
        <f t="shared" si="0"/>
        <v>6599.8276923076919</v>
      </c>
      <c r="E57" s="1"/>
      <c r="G57" s="1">
        <f t="shared" ref="G57:G67" si="6">SUM(B$56:B$67)/SUM(C$56:C$67)</f>
        <v>7700.5435555555559</v>
      </c>
      <c r="H57" s="3">
        <f t="shared" si="1"/>
        <v>7687.174800000008</v>
      </c>
      <c r="X57" s="18"/>
      <c r="Y57" s="19"/>
      <c r="AA57" s="18"/>
      <c r="AB57" s="19"/>
    </row>
    <row r="58" spans="1:28">
      <c r="A58" s="16">
        <v>43891</v>
      </c>
      <c r="B58" s="22">
        <v>334796.09999999998</v>
      </c>
      <c r="C58">
        <v>29</v>
      </c>
      <c r="D58" s="1">
        <f t="shared" si="0"/>
        <v>11544.693103448275</v>
      </c>
      <c r="E58" s="1"/>
      <c r="G58" s="1">
        <f t="shared" si="6"/>
        <v>7700.5435555555559</v>
      </c>
      <c r="H58" s="3">
        <f t="shared" si="1"/>
        <v>7625.2714000000124</v>
      </c>
      <c r="X58" s="18"/>
      <c r="Y58" s="19"/>
      <c r="AA58" s="18"/>
      <c r="AB58" s="19"/>
    </row>
    <row r="59" spans="1:28">
      <c r="A59" s="16">
        <v>43922</v>
      </c>
      <c r="B59" s="21">
        <v>184241.8</v>
      </c>
      <c r="C59">
        <v>27</v>
      </c>
      <c r="D59" s="1">
        <f t="shared" ref="D59:D70" si="7">B59/C59</f>
        <v>6823.7703703703701</v>
      </c>
      <c r="E59" s="1"/>
      <c r="G59" s="1">
        <f t="shared" si="6"/>
        <v>7700.5435555555559</v>
      </c>
      <c r="H59" s="3">
        <f t="shared" si="1"/>
        <v>7559.098800000007</v>
      </c>
      <c r="X59" s="18"/>
      <c r="Y59" s="19"/>
      <c r="AA59" s="18"/>
      <c r="AB59" s="19"/>
    </row>
    <row r="60" spans="1:28">
      <c r="A60" s="16">
        <v>43952</v>
      </c>
      <c r="B60" s="22">
        <v>197549.6</v>
      </c>
      <c r="C60">
        <v>18</v>
      </c>
      <c r="D60" s="1">
        <f t="shared" si="7"/>
        <v>10974.977777777778</v>
      </c>
      <c r="E60" s="1"/>
      <c r="G60" s="1">
        <f t="shared" si="6"/>
        <v>7700.5435555555559</v>
      </c>
      <c r="H60" s="3">
        <f t="shared" si="1"/>
        <v>7495.0608000000066</v>
      </c>
      <c r="X60" s="18"/>
      <c r="Y60" s="19"/>
      <c r="AA60" s="18"/>
      <c r="AB60" s="19"/>
    </row>
    <row r="61" spans="1:28">
      <c r="A61" s="16">
        <v>43983</v>
      </c>
      <c r="B61" s="21">
        <v>186969</v>
      </c>
      <c r="C61">
        <v>23</v>
      </c>
      <c r="D61" s="1">
        <f t="shared" si="7"/>
        <v>8129.086956521739</v>
      </c>
      <c r="E61" s="1"/>
      <c r="G61" s="1">
        <f t="shared" si="6"/>
        <v>7700.5435555555559</v>
      </c>
      <c r="H61" s="3">
        <f t="shared" si="1"/>
        <v>7428.8882000000012</v>
      </c>
      <c r="X61" s="18"/>
      <c r="Y61" s="19"/>
      <c r="AA61" s="18"/>
      <c r="AB61" s="19"/>
    </row>
    <row r="62" spans="1:28">
      <c r="A62" s="16">
        <v>44013</v>
      </c>
      <c r="B62" s="22">
        <v>177241.5</v>
      </c>
      <c r="C62">
        <v>24</v>
      </c>
      <c r="D62" s="1">
        <f t="shared" si="7"/>
        <v>7385.0625</v>
      </c>
      <c r="E62" s="1"/>
      <c r="G62" s="1">
        <f t="shared" si="6"/>
        <v>7700.5435555555559</v>
      </c>
      <c r="H62" s="3">
        <f t="shared" si="1"/>
        <v>7364.8502000000008</v>
      </c>
      <c r="O62" s="31"/>
      <c r="P62" s="31"/>
      <c r="X62" s="18"/>
      <c r="Y62" s="19"/>
      <c r="AA62" s="18"/>
      <c r="AB62" s="19"/>
    </row>
    <row r="63" spans="1:28">
      <c r="A63" s="16">
        <v>44044</v>
      </c>
      <c r="B63" s="21">
        <v>256513.2</v>
      </c>
      <c r="C63">
        <v>36</v>
      </c>
      <c r="D63" s="1">
        <f t="shared" si="7"/>
        <v>7125.3666666666668</v>
      </c>
      <c r="E63" s="1"/>
      <c r="G63" s="1">
        <f t="shared" si="6"/>
        <v>7700.5435555555559</v>
      </c>
      <c r="H63" s="3">
        <f t="shared" si="1"/>
        <v>7298.67760000001</v>
      </c>
      <c r="O63" s="32"/>
      <c r="P63" s="33"/>
      <c r="X63" s="18"/>
      <c r="Y63" s="19"/>
      <c r="AA63" s="18"/>
      <c r="AB63" s="19"/>
    </row>
    <row r="64" spans="1:28">
      <c r="A64" s="16">
        <v>44075</v>
      </c>
      <c r="B64" s="22">
        <v>334831</v>
      </c>
      <c r="C64">
        <v>38</v>
      </c>
      <c r="D64" s="1">
        <f t="shared" si="7"/>
        <v>8811.3421052631584</v>
      </c>
      <c r="E64" s="1"/>
      <c r="G64" s="1">
        <f t="shared" si="6"/>
        <v>7700.5435555555559</v>
      </c>
      <c r="H64" s="3">
        <f t="shared" si="1"/>
        <v>7232.5050000000047</v>
      </c>
      <c r="O64" s="32"/>
      <c r="P64" s="33"/>
      <c r="Q64" s="31"/>
      <c r="R64" s="31"/>
      <c r="X64" s="18"/>
      <c r="Y64" s="19"/>
      <c r="AA64" s="18"/>
      <c r="AB64" s="19"/>
    </row>
    <row r="65" spans="1:28">
      <c r="A65" s="16">
        <v>44105</v>
      </c>
      <c r="B65" s="21">
        <v>319234.59999999998</v>
      </c>
      <c r="C65">
        <v>49</v>
      </c>
      <c r="D65" s="1">
        <f t="shared" si="7"/>
        <v>6514.9918367346936</v>
      </c>
      <c r="E65" s="1"/>
      <c r="G65" s="1">
        <f t="shared" si="6"/>
        <v>7700.5435555555559</v>
      </c>
      <c r="H65" s="3">
        <f t="shared" si="1"/>
        <v>7168.4670000000042</v>
      </c>
      <c r="O65" s="32"/>
      <c r="P65" s="33"/>
      <c r="Q65" s="32"/>
      <c r="R65" s="33"/>
      <c r="X65" s="18"/>
      <c r="Y65" s="19"/>
      <c r="AA65" s="18"/>
      <c r="AB65" s="19"/>
    </row>
    <row r="66" spans="1:28">
      <c r="A66" s="16">
        <v>44136</v>
      </c>
      <c r="B66" s="22">
        <v>299250.3</v>
      </c>
      <c r="C66">
        <v>44</v>
      </c>
      <c r="D66" s="1">
        <f t="shared" si="7"/>
        <v>6801.1431818181818</v>
      </c>
      <c r="E66" s="1"/>
      <c r="G66" s="1">
        <f t="shared" si="6"/>
        <v>7700.5435555555559</v>
      </c>
      <c r="H66" s="3">
        <f t="shared" si="1"/>
        <v>7102.2944000000134</v>
      </c>
      <c r="O66" s="32"/>
      <c r="P66" s="33"/>
      <c r="Q66" s="32"/>
      <c r="R66" s="33"/>
      <c r="X66" s="18"/>
      <c r="Y66" s="19"/>
      <c r="AA66" s="18"/>
      <c r="AB66" s="19"/>
    </row>
    <row r="67" spans="1:28">
      <c r="A67" s="16">
        <v>44166</v>
      </c>
      <c r="B67" s="21">
        <v>306704.2</v>
      </c>
      <c r="C67">
        <v>41</v>
      </c>
      <c r="D67" s="1">
        <f t="shared" si="7"/>
        <v>7480.5902439024394</v>
      </c>
      <c r="E67" s="1"/>
      <c r="G67" s="1">
        <f t="shared" si="6"/>
        <v>7700.5435555555559</v>
      </c>
      <c r="H67" s="3">
        <f t="shared" si="1"/>
        <v>7038.2564000000129</v>
      </c>
      <c r="O67" s="32"/>
      <c r="P67" s="33"/>
      <c r="Q67" s="32"/>
      <c r="R67" s="33"/>
    </row>
    <row r="68" spans="1:28">
      <c r="A68" s="16">
        <v>44197</v>
      </c>
      <c r="B68" s="22">
        <v>267332.7</v>
      </c>
      <c r="C68">
        <v>38</v>
      </c>
      <c r="D68" s="1">
        <f t="shared" si="7"/>
        <v>7035.0710526315788</v>
      </c>
      <c r="E68" s="1"/>
      <c r="G68" s="1">
        <f>SUM(B$68:B$79)/SUM(C$68:C$79)</f>
        <v>7471.758119658135</v>
      </c>
      <c r="H68" s="3">
        <f t="shared" si="1"/>
        <v>6972.0838000000076</v>
      </c>
      <c r="I68" s="2">
        <f>H56-H68</f>
        <v>781.26360000000568</v>
      </c>
      <c r="O68" s="32"/>
      <c r="P68" s="33"/>
      <c r="Q68" s="32"/>
      <c r="R68" s="33"/>
    </row>
    <row r="69" spans="1:28">
      <c r="A69" s="16">
        <v>44228</v>
      </c>
      <c r="B69">
        <v>263691.70000000164</v>
      </c>
      <c r="C69">
        <v>36</v>
      </c>
      <c r="D69" s="1">
        <f t="shared" si="7"/>
        <v>7324.7694444444896</v>
      </c>
      <c r="E69" s="1"/>
      <c r="G69" s="1">
        <f t="shared" ref="G69:G79" si="8">SUM(B$68:B$79)/SUM(C$68:C$79)</f>
        <v>7471.758119658135</v>
      </c>
      <c r="H69" s="3">
        <f t="shared" si="1"/>
        <v>6905.9112000000023</v>
      </c>
      <c r="O69" s="32"/>
      <c r="P69" s="33"/>
      <c r="Q69" s="32"/>
      <c r="R69" s="33"/>
    </row>
    <row r="70" spans="1:28">
      <c r="A70" s="16">
        <v>44256</v>
      </c>
      <c r="B70">
        <v>343171.3000000001</v>
      </c>
      <c r="C70">
        <v>43</v>
      </c>
      <c r="D70" s="1">
        <f t="shared" si="7"/>
        <v>7980.7279069767465</v>
      </c>
      <c r="E70" s="1"/>
      <c r="G70" s="1">
        <f t="shared" si="8"/>
        <v>7471.758119658135</v>
      </c>
      <c r="H70" s="3">
        <f t="shared" si="1"/>
        <v>6846.1424000000115</v>
      </c>
      <c r="O70" s="32"/>
      <c r="P70" s="33"/>
      <c r="Q70" s="32"/>
      <c r="R70" s="33"/>
    </row>
    <row r="71" spans="1:28">
      <c r="A71" s="16">
        <v>44287</v>
      </c>
      <c r="B71" s="34"/>
      <c r="C71" s="34"/>
      <c r="E71" s="1"/>
      <c r="G71" s="1">
        <f t="shared" si="8"/>
        <v>7471.758119658135</v>
      </c>
      <c r="O71" s="32"/>
      <c r="P71" s="33"/>
      <c r="Q71" s="32"/>
      <c r="R71" s="33"/>
    </row>
    <row r="72" spans="1:28">
      <c r="A72" s="16">
        <v>44317</v>
      </c>
      <c r="B72" s="34"/>
      <c r="C72" s="34"/>
      <c r="E72" s="1"/>
      <c r="G72" s="1">
        <f t="shared" si="8"/>
        <v>7471.758119658135</v>
      </c>
      <c r="O72" s="32"/>
      <c r="P72" s="33"/>
      <c r="Q72" s="32"/>
      <c r="R72" s="33"/>
    </row>
    <row r="73" spans="1:28">
      <c r="A73" s="16">
        <v>44348</v>
      </c>
      <c r="B73" s="34"/>
      <c r="C73" s="34"/>
      <c r="E73" s="1"/>
      <c r="G73" s="1">
        <f t="shared" si="8"/>
        <v>7471.758119658135</v>
      </c>
      <c r="O73" s="32"/>
      <c r="P73" s="33"/>
      <c r="Q73" s="32"/>
      <c r="R73" s="33"/>
    </row>
    <row r="74" spans="1:28">
      <c r="A74" s="16">
        <v>44378</v>
      </c>
      <c r="B74" s="34"/>
      <c r="C74" s="34"/>
      <c r="E74" s="1"/>
      <c r="G74" s="1">
        <f t="shared" si="8"/>
        <v>7471.758119658135</v>
      </c>
      <c r="O74" s="32"/>
      <c r="P74" s="33"/>
      <c r="Q74" s="32"/>
      <c r="R74" s="33"/>
    </row>
    <row r="75" spans="1:28">
      <c r="A75" s="16">
        <v>44409</v>
      </c>
      <c r="B75" s="34"/>
      <c r="C75" s="34"/>
      <c r="E75" s="1"/>
      <c r="G75" s="1">
        <f t="shared" si="8"/>
        <v>7471.758119658135</v>
      </c>
      <c r="O75" s="32"/>
      <c r="P75" s="33"/>
      <c r="Q75" s="32"/>
      <c r="R75" s="33"/>
    </row>
    <row r="76" spans="1:28">
      <c r="A76" s="16">
        <v>44440</v>
      </c>
      <c r="B76" s="34"/>
      <c r="C76" s="34"/>
      <c r="E76" s="1"/>
      <c r="G76" s="1">
        <f t="shared" si="8"/>
        <v>7471.758119658135</v>
      </c>
      <c r="O76" s="32"/>
      <c r="P76" s="33"/>
      <c r="Q76" s="32"/>
      <c r="R76" s="33"/>
    </row>
    <row r="77" spans="1:28">
      <c r="A77" s="16">
        <v>44470</v>
      </c>
      <c r="B77" s="34"/>
      <c r="C77" s="34"/>
      <c r="E77" s="1"/>
      <c r="G77" s="1">
        <f t="shared" si="8"/>
        <v>7471.758119658135</v>
      </c>
      <c r="O77" s="32"/>
      <c r="P77" s="33"/>
      <c r="Q77" s="32"/>
      <c r="R77" s="33"/>
    </row>
    <row r="78" spans="1:28">
      <c r="A78" s="16">
        <v>44501</v>
      </c>
      <c r="B78" s="34"/>
      <c r="C78" s="34"/>
      <c r="E78" s="1"/>
      <c r="G78" s="1">
        <f t="shared" si="8"/>
        <v>7471.758119658135</v>
      </c>
      <c r="O78" s="32"/>
      <c r="P78" s="33"/>
      <c r="Q78" s="32"/>
      <c r="R78" s="33"/>
    </row>
    <row r="79" spans="1:28">
      <c r="A79" s="16">
        <v>44531</v>
      </c>
      <c r="B79" s="34"/>
      <c r="C79" s="34"/>
      <c r="E79" s="1"/>
      <c r="G79" s="1">
        <f t="shared" si="8"/>
        <v>7471.758119658135</v>
      </c>
      <c r="O79" s="32"/>
      <c r="P79" s="33"/>
      <c r="Q79" s="32"/>
      <c r="R79" s="33"/>
    </row>
    <row r="80" spans="1:28">
      <c r="A80" s="16">
        <v>44562</v>
      </c>
      <c r="B80" s="34"/>
      <c r="C80" s="34"/>
      <c r="E80" s="1"/>
      <c r="F80">
        <v>2000</v>
      </c>
      <c r="O80" s="32"/>
      <c r="P80" s="33"/>
      <c r="Q80" s="32"/>
      <c r="R80" s="33"/>
    </row>
    <row r="81" spans="1:18">
      <c r="A81" s="16">
        <v>44593</v>
      </c>
      <c r="B81" s="34"/>
      <c r="C81" s="34"/>
      <c r="E81" s="1"/>
      <c r="O81" s="32"/>
      <c r="P81" s="33"/>
      <c r="Q81" s="32"/>
      <c r="R81" s="33"/>
    </row>
    <row r="82" spans="1:18">
      <c r="A82" s="16">
        <v>44621</v>
      </c>
      <c r="B82" s="34"/>
      <c r="C82" s="34"/>
      <c r="E82" s="1"/>
      <c r="O82" s="32"/>
      <c r="P82" s="33"/>
      <c r="Q82" s="32"/>
      <c r="R82" s="33"/>
    </row>
    <row r="83" spans="1:18">
      <c r="A83" s="16">
        <v>44652</v>
      </c>
      <c r="B83" s="34"/>
      <c r="C83" s="34"/>
      <c r="E83" s="1"/>
      <c r="O83" s="32"/>
      <c r="P83" s="33"/>
      <c r="Q83" s="32"/>
      <c r="R83" s="33"/>
    </row>
    <row r="84" spans="1:18">
      <c r="A84" s="16">
        <v>44682</v>
      </c>
      <c r="B84" s="34"/>
      <c r="C84" s="34"/>
      <c r="E84" s="1"/>
      <c r="O84" s="32"/>
      <c r="P84" s="33"/>
      <c r="Q84" s="32"/>
      <c r="R84" s="33"/>
    </row>
    <row r="85" spans="1:18">
      <c r="A85" s="16">
        <v>44713</v>
      </c>
      <c r="B85" s="34"/>
      <c r="C85" s="34"/>
      <c r="E85" s="1"/>
      <c r="O85" s="32"/>
      <c r="P85" s="33"/>
      <c r="Q85" s="32"/>
      <c r="R85" s="33"/>
    </row>
    <row r="86" spans="1:18">
      <c r="A86" s="16">
        <v>44743</v>
      </c>
      <c r="B86" s="34"/>
      <c r="C86" s="34"/>
      <c r="E86" s="1"/>
      <c r="O86" s="32"/>
      <c r="P86" s="33"/>
      <c r="Q86" s="32"/>
      <c r="R86" s="33"/>
    </row>
    <row r="87" spans="1:18">
      <c r="A87" s="16">
        <v>44774</v>
      </c>
      <c r="B87" s="34"/>
      <c r="C87" s="34"/>
      <c r="E87" s="1"/>
      <c r="O87" s="32"/>
      <c r="P87" s="33"/>
      <c r="Q87" s="32"/>
      <c r="R87" s="33"/>
    </row>
    <row r="88" spans="1:18">
      <c r="A88" s="16">
        <v>44805</v>
      </c>
      <c r="B88" s="34"/>
      <c r="C88" s="34"/>
      <c r="E88" s="1"/>
      <c r="O88" s="32"/>
      <c r="P88" s="33"/>
      <c r="Q88" s="32"/>
      <c r="R88" s="33"/>
    </row>
    <row r="89" spans="1:18">
      <c r="A89" s="16">
        <v>44835</v>
      </c>
      <c r="B89" s="34"/>
      <c r="C89" s="34"/>
      <c r="E89" s="1"/>
      <c r="O89" s="32"/>
      <c r="P89" s="33"/>
      <c r="Q89" s="32"/>
      <c r="R89" s="33"/>
    </row>
    <row r="90" spans="1:18">
      <c r="A90" s="16">
        <v>44866</v>
      </c>
      <c r="B90" s="34"/>
      <c r="C90" s="34"/>
      <c r="E90" s="1"/>
      <c r="O90" s="32"/>
      <c r="P90" s="33"/>
      <c r="Q90" s="32"/>
      <c r="R90" s="33"/>
    </row>
    <row r="91" spans="1:18">
      <c r="A91" s="16">
        <v>44896</v>
      </c>
      <c r="B91" s="34"/>
      <c r="C91" s="34"/>
      <c r="E91" s="1"/>
      <c r="O91" s="32"/>
      <c r="P91" s="33"/>
      <c r="Q91" s="32"/>
      <c r="R91" s="33"/>
    </row>
    <row r="92" spans="1:18">
      <c r="A92" s="16"/>
      <c r="B92" s="34"/>
      <c r="C92" s="34"/>
      <c r="E92" s="1"/>
      <c r="O92" s="32"/>
      <c r="P92" s="33"/>
      <c r="Q92" s="32"/>
      <c r="R92" s="33"/>
    </row>
    <row r="93" spans="1:18">
      <c r="A93" s="16"/>
      <c r="B93" s="34"/>
      <c r="C93" s="34"/>
      <c r="E93" s="1"/>
      <c r="O93" s="32"/>
      <c r="P93" s="33"/>
      <c r="Q93" s="32"/>
      <c r="R93" s="33"/>
    </row>
    <row r="94" spans="1:18">
      <c r="A94" s="16"/>
      <c r="B94" s="34"/>
      <c r="C94" s="34"/>
      <c r="E94" s="1"/>
      <c r="O94" s="32"/>
      <c r="P94" s="33"/>
      <c r="Q94" s="32"/>
      <c r="R94" s="33"/>
    </row>
    <row r="95" spans="1:18">
      <c r="A95" s="16"/>
      <c r="B95" s="34"/>
      <c r="C95" s="34"/>
      <c r="E95" s="1"/>
      <c r="O95" s="32"/>
      <c r="P95" s="33"/>
      <c r="Q95" s="32"/>
      <c r="R95" s="33"/>
    </row>
    <row r="96" spans="1:18">
      <c r="A96" s="16"/>
      <c r="B96" s="34"/>
      <c r="C96" s="34"/>
      <c r="E96" s="1"/>
      <c r="O96" s="32"/>
      <c r="P96" s="33"/>
      <c r="Q96" s="32"/>
      <c r="R96" s="33"/>
    </row>
    <row r="97" spans="1:18">
      <c r="A97" s="16"/>
      <c r="B97" s="34"/>
      <c r="C97" s="34"/>
      <c r="E97" s="1"/>
      <c r="O97" s="32"/>
      <c r="P97" s="33"/>
      <c r="Q97" s="32"/>
      <c r="R97" s="33"/>
    </row>
    <row r="98" spans="1:18">
      <c r="A98" s="16"/>
      <c r="B98" s="34"/>
      <c r="C98" s="35"/>
      <c r="E98" s="34"/>
      <c r="O98" s="32"/>
      <c r="P98" s="33"/>
      <c r="Q98" s="32"/>
      <c r="R98" s="33"/>
    </row>
    <row r="99" spans="1:18">
      <c r="A99" s="16"/>
      <c r="B99" s="34"/>
      <c r="C99" s="34"/>
      <c r="E99" s="1"/>
      <c r="O99" s="32"/>
      <c r="P99" s="33"/>
      <c r="Q99" s="32"/>
      <c r="R99" s="33"/>
    </row>
    <row r="100" spans="1:18">
      <c r="A100" s="16"/>
      <c r="B100" s="34"/>
      <c r="C100" s="34"/>
      <c r="E100" s="1"/>
      <c r="O100" s="32"/>
      <c r="P100" s="33"/>
      <c r="Q100" s="32"/>
      <c r="R100" s="33"/>
    </row>
    <row r="101" spans="1:18">
      <c r="A101" s="16"/>
      <c r="B101" s="34"/>
      <c r="C101" s="34"/>
      <c r="E101" s="1"/>
      <c r="O101" s="32"/>
      <c r="P101" s="33"/>
      <c r="Q101" s="32"/>
      <c r="R101" s="33"/>
    </row>
    <row r="102" spans="1:18">
      <c r="A102" s="16"/>
      <c r="B102" s="34"/>
      <c r="C102" s="34"/>
      <c r="E102" s="1"/>
      <c r="O102" s="32"/>
      <c r="P102" s="33"/>
      <c r="Q102" s="32"/>
      <c r="R102" s="33"/>
    </row>
    <row r="103" spans="1:18">
      <c r="A103" s="16"/>
      <c r="B103" s="34"/>
      <c r="C103" s="34"/>
      <c r="E103" s="1"/>
      <c r="O103" s="32"/>
      <c r="P103" s="33"/>
      <c r="Q103" s="32"/>
      <c r="R103" s="33"/>
    </row>
    <row r="104" spans="1:18">
      <c r="O104" s="32"/>
      <c r="P104" s="33"/>
      <c r="Q104" s="32"/>
      <c r="R104" s="33"/>
    </row>
    <row r="105" spans="1:18">
      <c r="O105" s="32"/>
      <c r="P105" s="33"/>
      <c r="Q105" s="32"/>
      <c r="R105" s="33"/>
    </row>
    <row r="106" spans="1:18">
      <c r="O106" s="32"/>
      <c r="P106" s="33"/>
      <c r="Q106" s="32"/>
      <c r="R106" s="33"/>
    </row>
    <row r="107" spans="1:18">
      <c r="O107" s="32"/>
      <c r="P107" s="33"/>
      <c r="Q107" s="32"/>
      <c r="R107" s="33"/>
    </row>
    <row r="108" spans="1:18">
      <c r="O108" s="32"/>
      <c r="P108" s="33"/>
      <c r="Q108" s="32"/>
      <c r="R108" s="33"/>
    </row>
    <row r="109" spans="1:18">
      <c r="O109" s="32"/>
      <c r="P109" s="33"/>
      <c r="Q109" s="32"/>
      <c r="R109" s="33"/>
    </row>
    <row r="110" spans="1:18">
      <c r="O110" s="32"/>
      <c r="P110" s="33"/>
      <c r="Q110" s="32"/>
      <c r="R110" s="33"/>
    </row>
    <row r="111" spans="1:18">
      <c r="O111" s="32"/>
      <c r="P111" s="33"/>
      <c r="Q111" s="32"/>
      <c r="R111" s="33"/>
    </row>
    <row r="112" spans="1:18">
      <c r="O112" s="32"/>
      <c r="P112" s="33"/>
      <c r="Q112" s="32"/>
      <c r="R112" s="33"/>
    </row>
    <row r="113" spans="15:18">
      <c r="O113" s="32"/>
      <c r="P113" s="33"/>
      <c r="Q113" s="32"/>
      <c r="R113" s="33"/>
    </row>
    <row r="114" spans="15:18">
      <c r="O114" s="32"/>
      <c r="P114" s="33"/>
      <c r="Q114" s="32"/>
      <c r="R114" s="33"/>
    </row>
    <row r="115" spans="15:18">
      <c r="O115" s="32"/>
      <c r="P115" s="33"/>
      <c r="Q115" s="32"/>
      <c r="R115" s="33"/>
    </row>
    <row r="116" spans="15:18">
      <c r="O116" s="32"/>
      <c r="P116" s="33"/>
      <c r="Q116" s="32"/>
      <c r="R116" s="33"/>
    </row>
    <row r="117" spans="15:18">
      <c r="O117" s="32"/>
      <c r="P117" s="33"/>
      <c r="Q117" s="32"/>
      <c r="R117" s="33"/>
    </row>
    <row r="118" spans="15:18">
      <c r="O118" s="32"/>
      <c r="P118" s="33"/>
      <c r="Q118" s="32"/>
      <c r="R118" s="33"/>
    </row>
    <row r="119" spans="15:18">
      <c r="O119" s="32"/>
      <c r="P119" s="33"/>
      <c r="Q119" s="32"/>
      <c r="R119" s="33"/>
    </row>
    <row r="120" spans="15:18">
      <c r="O120" s="32"/>
      <c r="P120" s="33"/>
      <c r="Q120" s="32"/>
      <c r="R120" s="33"/>
    </row>
    <row r="121" spans="15:18">
      <c r="O121" s="32"/>
      <c r="P121" s="33"/>
      <c r="Q121" s="32"/>
      <c r="R121" s="33"/>
    </row>
    <row r="122" spans="15:18">
      <c r="O122" s="32"/>
      <c r="P122" s="33"/>
      <c r="Q122" s="32"/>
      <c r="R122" s="33"/>
    </row>
    <row r="123" spans="15:18">
      <c r="O123" s="32"/>
      <c r="P123" s="33"/>
      <c r="Q123" s="32"/>
      <c r="R123" s="33"/>
    </row>
    <row r="124" spans="15:18">
      <c r="O124" s="32"/>
      <c r="P124" s="33"/>
      <c r="Q124" s="32"/>
      <c r="R124" s="33"/>
    </row>
    <row r="125" spans="15:18">
      <c r="O125" s="32"/>
      <c r="P125" s="33"/>
      <c r="Q125" s="32"/>
      <c r="R125" s="33"/>
    </row>
    <row r="126" spans="15:18">
      <c r="O126" s="32"/>
      <c r="P126" s="33"/>
      <c r="Q126" s="32"/>
      <c r="R126" s="33"/>
    </row>
    <row r="127" spans="15:18">
      <c r="O127" s="32"/>
      <c r="P127" s="33"/>
      <c r="Q127" s="32"/>
      <c r="R127" s="33"/>
    </row>
    <row r="128" spans="15:18">
      <c r="O128" s="32"/>
      <c r="P128" s="33"/>
      <c r="Q128" s="32"/>
      <c r="R128" s="33"/>
    </row>
    <row r="129" spans="15:18">
      <c r="O129" s="32"/>
      <c r="P129" s="33"/>
      <c r="Q129" s="32"/>
      <c r="R129" s="33"/>
    </row>
    <row r="130" spans="15:18">
      <c r="O130" s="32"/>
      <c r="P130" s="33"/>
      <c r="Q130" s="32"/>
      <c r="R130" s="33"/>
    </row>
    <row r="131" spans="15:18">
      <c r="O131" s="32"/>
      <c r="P131" s="33"/>
      <c r="Q131" s="32"/>
      <c r="R131" s="33"/>
    </row>
    <row r="132" spans="15:18">
      <c r="O132" s="32"/>
      <c r="P132" s="33"/>
      <c r="Q132" s="32"/>
      <c r="R132" s="33"/>
    </row>
    <row r="133" spans="15:18">
      <c r="O133" s="32"/>
      <c r="P133" s="33"/>
      <c r="Q133" s="32"/>
      <c r="R133" s="33"/>
    </row>
    <row r="134" spans="15:18">
      <c r="O134" s="32"/>
      <c r="P134" s="33"/>
      <c r="Q134" s="32"/>
      <c r="R134" s="33"/>
    </row>
    <row r="135" spans="15:18">
      <c r="O135" s="32"/>
      <c r="P135" s="33"/>
      <c r="Q135" s="32"/>
      <c r="R135" s="33"/>
    </row>
    <row r="136" spans="15:18">
      <c r="O136" s="32"/>
      <c r="P136" s="33"/>
      <c r="Q136" s="32"/>
      <c r="R136" s="33"/>
    </row>
    <row r="137" spans="15:18">
      <c r="O137" s="32"/>
      <c r="P137" s="33"/>
      <c r="Q137" s="32"/>
      <c r="R137" s="33"/>
    </row>
    <row r="138" spans="15:18">
      <c r="O138" s="32"/>
      <c r="P138" s="33"/>
      <c r="Q138" s="32"/>
      <c r="R138" s="33"/>
    </row>
    <row r="139" spans="15:18">
      <c r="O139" s="32"/>
      <c r="P139" s="33"/>
      <c r="Q139" s="32"/>
      <c r="R139" s="33"/>
    </row>
    <row r="140" spans="15:18">
      <c r="O140" s="32"/>
      <c r="P140" s="33"/>
      <c r="Q140" s="32"/>
      <c r="R140" s="33"/>
    </row>
    <row r="141" spans="15:18">
      <c r="O141" s="32"/>
      <c r="P141" s="33"/>
      <c r="Q141" s="32"/>
      <c r="R141" s="33"/>
    </row>
    <row r="142" spans="15:18">
      <c r="O142" s="32"/>
      <c r="P142" s="33"/>
      <c r="Q142" s="32"/>
      <c r="R142" s="33"/>
    </row>
    <row r="143" spans="15:18">
      <c r="O143" s="32"/>
      <c r="P143" s="33"/>
      <c r="Q143" s="32"/>
      <c r="R143" s="33"/>
    </row>
    <row r="144" spans="15:18">
      <c r="O144" s="32"/>
      <c r="P144" s="33"/>
      <c r="Q144" s="32"/>
      <c r="R144" s="33"/>
    </row>
    <row r="145" spans="15:18">
      <c r="O145" s="32"/>
      <c r="P145" s="33"/>
      <c r="Q145" s="32"/>
      <c r="R145" s="33"/>
    </row>
    <row r="146" spans="15:18">
      <c r="O146" s="32"/>
      <c r="P146" s="33"/>
      <c r="Q146" s="32"/>
      <c r="R146" s="33"/>
    </row>
    <row r="147" spans="15:18">
      <c r="O147" s="32"/>
      <c r="P147" s="33"/>
      <c r="Q147" s="32"/>
      <c r="R147" s="33"/>
    </row>
    <row r="148" spans="15:18">
      <c r="O148" s="32"/>
      <c r="P148" s="33"/>
      <c r="Q148" s="32"/>
      <c r="R148" s="33"/>
    </row>
    <row r="149" spans="15:18">
      <c r="O149" s="32"/>
      <c r="P149" s="33"/>
      <c r="Q149" s="32"/>
      <c r="R149" s="33"/>
    </row>
    <row r="150" spans="15:18">
      <c r="O150" s="32"/>
      <c r="P150" s="33"/>
      <c r="Q150" s="32"/>
      <c r="R150" s="33"/>
    </row>
    <row r="151" spans="15:18">
      <c r="O151" s="32"/>
      <c r="P151" s="33"/>
      <c r="Q151" s="32"/>
      <c r="R151" s="33"/>
    </row>
    <row r="152" spans="15:18">
      <c r="O152" s="32"/>
      <c r="P152" s="33"/>
      <c r="Q152" s="32"/>
      <c r="R152" s="33"/>
    </row>
    <row r="153" spans="15:18">
      <c r="O153" s="32"/>
      <c r="P153" s="33"/>
      <c r="Q153" s="32"/>
      <c r="R153" s="33"/>
    </row>
    <row r="154" spans="15:18">
      <c r="O154" s="32"/>
      <c r="P154" s="33"/>
      <c r="Q154" s="32"/>
      <c r="R154" s="33"/>
    </row>
    <row r="155" spans="15:18">
      <c r="O155" s="32"/>
      <c r="P155" s="33"/>
      <c r="Q155" s="32"/>
      <c r="R155" s="33"/>
    </row>
    <row r="156" spans="15:18">
      <c r="O156" s="32"/>
      <c r="P156" s="33"/>
      <c r="Q156" s="32"/>
      <c r="R156" s="33"/>
    </row>
    <row r="157" spans="15:18">
      <c r="O157" s="32"/>
      <c r="P157" s="33"/>
      <c r="Q157" s="32"/>
      <c r="R157" s="33"/>
    </row>
    <row r="158" spans="15:18">
      <c r="O158" s="32"/>
      <c r="P158" s="33"/>
      <c r="Q158" s="32"/>
      <c r="R158" s="33"/>
    </row>
    <row r="159" spans="15:18">
      <c r="O159" s="32"/>
      <c r="P159" s="33"/>
      <c r="Q159" s="32"/>
      <c r="R159" s="33"/>
    </row>
    <row r="160" spans="15:18">
      <c r="O160" s="32"/>
      <c r="P160" s="33"/>
      <c r="Q160" s="32"/>
      <c r="R160" s="33"/>
    </row>
    <row r="161" spans="15:18">
      <c r="O161" s="32"/>
      <c r="P161" s="33"/>
      <c r="Q161" s="32"/>
      <c r="R161" s="33"/>
    </row>
    <row r="162" spans="15:18">
      <c r="O162" s="32"/>
      <c r="P162" s="33"/>
      <c r="Q162" s="32"/>
      <c r="R162" s="33"/>
    </row>
    <row r="163" spans="15:18">
      <c r="O163" s="32"/>
      <c r="P163" s="33"/>
      <c r="Q163" s="32"/>
      <c r="R163" s="33"/>
    </row>
    <row r="164" spans="15:18">
      <c r="O164" s="32"/>
      <c r="P164" s="33"/>
      <c r="Q164" s="32"/>
      <c r="R164" s="33"/>
    </row>
    <row r="165" spans="15:18">
      <c r="O165" s="32"/>
      <c r="P165" s="33"/>
      <c r="Q165" s="32"/>
      <c r="R165" s="33"/>
    </row>
    <row r="166" spans="15:18">
      <c r="O166" s="32"/>
      <c r="P166" s="33"/>
      <c r="Q166" s="32"/>
      <c r="R166" s="33"/>
    </row>
    <row r="167" spans="15:18">
      <c r="O167" s="32"/>
      <c r="P167" s="33"/>
      <c r="Q167" s="32"/>
      <c r="R167" s="33"/>
    </row>
    <row r="168" spans="15:18">
      <c r="O168" s="32"/>
      <c r="P168" s="33"/>
      <c r="Q168" s="32"/>
      <c r="R168" s="33"/>
    </row>
    <row r="169" spans="15:18">
      <c r="O169" s="32"/>
      <c r="P169" s="33"/>
      <c r="Q169" s="32"/>
      <c r="R169" s="33"/>
    </row>
    <row r="170" spans="15:18">
      <c r="O170" s="32"/>
      <c r="P170" s="33"/>
      <c r="Q170" s="32"/>
      <c r="R170" s="33"/>
    </row>
    <row r="171" spans="15:18">
      <c r="O171" s="32"/>
      <c r="P171" s="33"/>
      <c r="Q171" s="32"/>
      <c r="R171" s="33"/>
    </row>
    <row r="172" spans="15:18">
      <c r="O172" s="32"/>
      <c r="P172" s="33"/>
      <c r="Q172" s="32"/>
      <c r="R172" s="33"/>
    </row>
    <row r="173" spans="15:18">
      <c r="O173" s="32"/>
      <c r="P173" s="33"/>
      <c r="Q173" s="32"/>
      <c r="R173" s="33"/>
    </row>
    <row r="174" spans="15:18">
      <c r="O174" s="32"/>
      <c r="P174" s="33"/>
      <c r="Q174" s="32"/>
      <c r="R174" s="33"/>
    </row>
    <row r="175" spans="15:18">
      <c r="O175" s="32"/>
      <c r="P175" s="33"/>
      <c r="Q175" s="32"/>
      <c r="R175" s="33"/>
    </row>
    <row r="176" spans="15:18">
      <c r="O176" s="32"/>
      <c r="P176" s="33"/>
      <c r="Q176" s="32"/>
      <c r="R176" s="33"/>
    </row>
    <row r="177" spans="15:18">
      <c r="O177" s="32"/>
      <c r="P177" s="33"/>
      <c r="Q177" s="32"/>
      <c r="R177" s="33"/>
    </row>
    <row r="178" spans="15:18">
      <c r="O178" s="32"/>
      <c r="P178" s="33"/>
      <c r="Q178" s="32"/>
      <c r="R178" s="33"/>
    </row>
    <row r="179" spans="15:18">
      <c r="O179" s="32"/>
      <c r="P179" s="33"/>
      <c r="Q179" s="32"/>
      <c r="R179" s="33"/>
    </row>
    <row r="180" spans="15:18">
      <c r="O180" s="32"/>
      <c r="P180" s="33"/>
      <c r="Q180" s="32"/>
      <c r="R180" s="33"/>
    </row>
    <row r="181" spans="15:18">
      <c r="O181" s="32"/>
      <c r="P181" s="33"/>
      <c r="Q181" s="32"/>
      <c r="R181" s="33"/>
    </row>
    <row r="182" spans="15:18">
      <c r="O182" s="32"/>
      <c r="P182" s="33"/>
      <c r="Q182" s="32"/>
      <c r="R182" s="33"/>
    </row>
    <row r="183" spans="15:18">
      <c r="O183" s="32"/>
      <c r="P183" s="33"/>
      <c r="Q183" s="32"/>
      <c r="R183" s="33"/>
    </row>
    <row r="184" spans="15:18">
      <c r="O184" s="32"/>
      <c r="P184" s="33"/>
      <c r="Q184" s="32"/>
      <c r="R184" s="33"/>
    </row>
    <row r="185" spans="15:18">
      <c r="O185" s="32"/>
      <c r="P185" s="33"/>
      <c r="Q185" s="32"/>
      <c r="R185" s="33"/>
    </row>
    <row r="186" spans="15:18">
      <c r="O186" s="32"/>
      <c r="P186" s="33"/>
      <c r="Q186" s="32"/>
      <c r="R186" s="33"/>
    </row>
    <row r="187" spans="15:18">
      <c r="O187" s="32"/>
      <c r="P187" s="33"/>
      <c r="Q187" s="32"/>
      <c r="R187" s="33"/>
    </row>
    <row r="188" spans="15:18">
      <c r="O188" s="32"/>
      <c r="P188" s="33"/>
      <c r="Q188" s="32"/>
      <c r="R188" s="33"/>
    </row>
    <row r="189" spans="15:18">
      <c r="O189" s="32"/>
      <c r="P189" s="33"/>
      <c r="Q189" s="32"/>
      <c r="R189" s="33"/>
    </row>
    <row r="190" spans="15:18">
      <c r="O190" s="32"/>
      <c r="P190" s="33"/>
      <c r="Q190" s="32"/>
      <c r="R190" s="33"/>
    </row>
    <row r="191" spans="15:18">
      <c r="O191" s="32"/>
      <c r="P191" s="33"/>
      <c r="Q191" s="32"/>
      <c r="R191" s="33"/>
    </row>
    <row r="192" spans="15:18">
      <c r="O192" s="32"/>
      <c r="P192" s="33"/>
      <c r="Q192" s="32"/>
      <c r="R192" s="33"/>
    </row>
    <row r="193" spans="15:18">
      <c r="O193" s="32"/>
      <c r="P193" s="33"/>
      <c r="Q193" s="32"/>
      <c r="R193" s="33"/>
    </row>
    <row r="194" spans="15:18">
      <c r="O194" s="32"/>
      <c r="P194" s="33"/>
      <c r="Q194" s="32"/>
      <c r="R194" s="33"/>
    </row>
    <row r="195" spans="15:18">
      <c r="O195" s="32"/>
      <c r="P195" s="33"/>
      <c r="Q195" s="32"/>
      <c r="R195" s="33"/>
    </row>
    <row r="196" spans="15:18">
      <c r="Q196" s="32"/>
      <c r="R196" s="33"/>
    </row>
    <row r="197" spans="15:18">
      <c r="O197" s="32"/>
      <c r="P197" s="33"/>
      <c r="Q197" s="32"/>
      <c r="R197" s="33"/>
    </row>
    <row r="198" spans="15:18">
      <c r="O198" s="32"/>
      <c r="P198" s="33"/>
      <c r="Q198" s="32"/>
      <c r="R198" s="33"/>
    </row>
    <row r="199" spans="15:18">
      <c r="O199" s="32"/>
      <c r="P199" s="33"/>
      <c r="Q199" s="32"/>
      <c r="R199" s="33"/>
    </row>
    <row r="200" spans="15:18">
      <c r="O200" s="32"/>
      <c r="P200" s="33"/>
      <c r="Q200" s="32"/>
      <c r="R200" s="33"/>
    </row>
    <row r="201" spans="15:18">
      <c r="O201" s="32"/>
      <c r="P201" s="33"/>
      <c r="Q201" s="32"/>
      <c r="R201" s="33"/>
    </row>
  </sheetData>
  <mergeCells count="1">
    <mergeCell ref="D5:E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FD6B-C28A-4619-BBC4-3C7D95E8F85B}">
  <sheetPr>
    <tabColor rgb="FF92D050"/>
  </sheetPr>
  <dimension ref="C3:D369"/>
  <sheetViews>
    <sheetView workbookViewId="0">
      <selection activeCell="H30" sqref="H30"/>
    </sheetView>
  </sheetViews>
  <sheetFormatPr defaultRowHeight="14.45"/>
  <cols>
    <col min="3" max="3" width="61.85546875" customWidth="1"/>
    <col min="4" max="4" width="24.85546875" customWidth="1"/>
  </cols>
  <sheetData>
    <row r="3" spans="3:4" ht="18">
      <c r="C3" s="28" t="s">
        <v>15</v>
      </c>
      <c r="D3" s="28"/>
    </row>
    <row r="5" spans="3:4" ht="15.6">
      <c r="C5" s="23" t="s">
        <v>16</v>
      </c>
      <c r="D5" s="24" t="s">
        <v>17</v>
      </c>
    </row>
    <row r="6" spans="3:4">
      <c r="C6" s="25" t="s">
        <v>18</v>
      </c>
      <c r="D6" s="26">
        <v>110</v>
      </c>
    </row>
    <row r="7" spans="3:4">
      <c r="C7" s="25" t="s">
        <v>19</v>
      </c>
      <c r="D7" s="26">
        <v>72</v>
      </c>
    </row>
    <row r="8" spans="3:4">
      <c r="C8" s="25" t="s">
        <v>20</v>
      </c>
      <c r="D8" s="26">
        <v>67</v>
      </c>
    </row>
    <row r="9" spans="3:4">
      <c r="C9" s="25" t="s">
        <v>21</v>
      </c>
      <c r="D9" s="26">
        <v>63</v>
      </c>
    </row>
    <row r="10" spans="3:4">
      <c r="C10" s="25" t="s">
        <v>22</v>
      </c>
      <c r="D10" s="26">
        <v>62</v>
      </c>
    </row>
    <row r="11" spans="3:4">
      <c r="C11" s="25" t="s">
        <v>23</v>
      </c>
      <c r="D11" s="26">
        <v>48</v>
      </c>
    </row>
    <row r="12" spans="3:4">
      <c r="C12" s="25" t="s">
        <v>24</v>
      </c>
      <c r="D12" s="26">
        <v>45</v>
      </c>
    </row>
    <row r="13" spans="3:4">
      <c r="C13" s="25" t="s">
        <v>25</v>
      </c>
      <c r="D13" s="26">
        <v>41</v>
      </c>
    </row>
    <row r="14" spans="3:4">
      <c r="C14" s="25" t="s">
        <v>26</v>
      </c>
      <c r="D14" s="26">
        <v>39</v>
      </c>
    </row>
    <row r="15" spans="3:4">
      <c r="C15" s="25" t="s">
        <v>27</v>
      </c>
      <c r="D15" s="26">
        <v>35</v>
      </c>
    </row>
    <row r="16" spans="3:4">
      <c r="C16" s="25" t="s">
        <v>28</v>
      </c>
      <c r="D16" s="26">
        <v>35</v>
      </c>
    </row>
    <row r="17" spans="3:4">
      <c r="C17" s="25" t="s">
        <v>29</v>
      </c>
      <c r="D17" s="26">
        <v>29</v>
      </c>
    </row>
    <row r="18" spans="3:4">
      <c r="C18" s="25" t="s">
        <v>30</v>
      </c>
      <c r="D18" s="26">
        <v>27</v>
      </c>
    </row>
    <row r="19" spans="3:4">
      <c r="C19" s="25" t="s">
        <v>31</v>
      </c>
      <c r="D19" s="26">
        <v>26</v>
      </c>
    </row>
    <row r="20" spans="3:4">
      <c r="C20" s="25" t="s">
        <v>32</v>
      </c>
      <c r="D20" s="26">
        <v>23</v>
      </c>
    </row>
    <row r="21" spans="3:4">
      <c r="C21" s="25" t="s">
        <v>33</v>
      </c>
      <c r="D21" s="26">
        <v>21</v>
      </c>
    </row>
    <row r="22" spans="3:4">
      <c r="C22" s="25" t="s">
        <v>34</v>
      </c>
      <c r="D22" s="26">
        <v>21</v>
      </c>
    </row>
    <row r="23" spans="3:4">
      <c r="C23" s="25" t="s">
        <v>35</v>
      </c>
      <c r="D23" s="26">
        <v>21</v>
      </c>
    </row>
    <row r="24" spans="3:4">
      <c r="C24" s="25" t="s">
        <v>36</v>
      </c>
      <c r="D24" s="26">
        <v>20</v>
      </c>
    </row>
    <row r="25" spans="3:4">
      <c r="C25" s="25" t="s">
        <v>37</v>
      </c>
      <c r="D25" s="26">
        <v>19</v>
      </c>
    </row>
    <row r="26" spans="3:4">
      <c r="C26" s="25" t="s">
        <v>38</v>
      </c>
      <c r="D26" s="26">
        <v>17</v>
      </c>
    </row>
    <row r="27" spans="3:4">
      <c r="C27" s="25" t="s">
        <v>39</v>
      </c>
      <c r="D27" s="26">
        <v>17</v>
      </c>
    </row>
    <row r="28" spans="3:4">
      <c r="C28" s="25" t="s">
        <v>40</v>
      </c>
      <c r="D28" s="26">
        <v>16</v>
      </c>
    </row>
    <row r="29" spans="3:4">
      <c r="C29" s="25" t="s">
        <v>41</v>
      </c>
      <c r="D29" s="26">
        <v>16</v>
      </c>
    </row>
    <row r="30" spans="3:4">
      <c r="C30" s="25" t="s">
        <v>42</v>
      </c>
      <c r="D30" s="26">
        <v>16</v>
      </c>
    </row>
    <row r="31" spans="3:4">
      <c r="C31" s="25" t="s">
        <v>43</v>
      </c>
      <c r="D31" s="26">
        <v>15</v>
      </c>
    </row>
    <row r="32" spans="3:4">
      <c r="C32" s="25" t="s">
        <v>44</v>
      </c>
      <c r="D32" s="26">
        <v>15</v>
      </c>
    </row>
    <row r="33" spans="3:4">
      <c r="C33" s="25" t="s">
        <v>45</v>
      </c>
      <c r="D33" s="26">
        <v>14</v>
      </c>
    </row>
    <row r="34" spans="3:4">
      <c r="C34" s="25" t="s">
        <v>46</v>
      </c>
      <c r="D34" s="26">
        <v>13</v>
      </c>
    </row>
    <row r="35" spans="3:4">
      <c r="C35" s="25" t="s">
        <v>47</v>
      </c>
      <c r="D35" s="26">
        <v>13</v>
      </c>
    </row>
    <row r="36" spans="3:4">
      <c r="C36" s="25" t="s">
        <v>48</v>
      </c>
      <c r="D36" s="26">
        <v>12</v>
      </c>
    </row>
    <row r="37" spans="3:4">
      <c r="C37" s="25" t="s">
        <v>49</v>
      </c>
      <c r="D37" s="26">
        <v>11</v>
      </c>
    </row>
    <row r="38" spans="3:4">
      <c r="C38" s="25" t="s">
        <v>50</v>
      </c>
      <c r="D38" s="26">
        <v>11</v>
      </c>
    </row>
    <row r="39" spans="3:4">
      <c r="C39" s="25" t="s">
        <v>51</v>
      </c>
      <c r="D39" s="26">
        <v>11</v>
      </c>
    </row>
    <row r="40" spans="3:4">
      <c r="C40" s="25" t="s">
        <v>52</v>
      </c>
      <c r="D40" s="26">
        <v>10</v>
      </c>
    </row>
    <row r="41" spans="3:4">
      <c r="C41" s="25" t="s">
        <v>53</v>
      </c>
      <c r="D41" s="26">
        <v>10</v>
      </c>
    </row>
    <row r="42" spans="3:4">
      <c r="C42" s="25" t="s">
        <v>54</v>
      </c>
      <c r="D42" s="26">
        <v>10</v>
      </c>
    </row>
    <row r="43" spans="3:4">
      <c r="C43" s="25" t="s">
        <v>55</v>
      </c>
      <c r="D43" s="26">
        <v>10</v>
      </c>
    </row>
    <row r="44" spans="3:4">
      <c r="C44" s="25" t="s">
        <v>56</v>
      </c>
      <c r="D44" s="26">
        <v>10</v>
      </c>
    </row>
    <row r="45" spans="3:4">
      <c r="C45" s="25" t="s">
        <v>57</v>
      </c>
      <c r="D45" s="26">
        <v>10</v>
      </c>
    </row>
    <row r="46" spans="3:4">
      <c r="C46" s="25" t="s">
        <v>58</v>
      </c>
      <c r="D46" s="26">
        <v>9</v>
      </c>
    </row>
    <row r="47" spans="3:4">
      <c r="C47" s="25" t="s">
        <v>59</v>
      </c>
      <c r="D47" s="26">
        <v>9</v>
      </c>
    </row>
    <row r="48" spans="3:4">
      <c r="C48" s="25" t="s">
        <v>60</v>
      </c>
      <c r="D48" s="26">
        <v>9</v>
      </c>
    </row>
    <row r="49" spans="3:4">
      <c r="C49" s="25" t="s">
        <v>61</v>
      </c>
      <c r="D49" s="26">
        <v>8</v>
      </c>
    </row>
    <row r="50" spans="3:4">
      <c r="C50" s="25" t="s">
        <v>62</v>
      </c>
      <c r="D50" s="26">
        <v>8</v>
      </c>
    </row>
    <row r="51" spans="3:4">
      <c r="C51" s="25" t="s">
        <v>63</v>
      </c>
      <c r="D51" s="26">
        <v>8</v>
      </c>
    </row>
    <row r="52" spans="3:4">
      <c r="C52" s="25" t="s">
        <v>64</v>
      </c>
      <c r="D52" s="26">
        <v>8</v>
      </c>
    </row>
    <row r="53" spans="3:4">
      <c r="C53" s="25" t="s">
        <v>65</v>
      </c>
      <c r="D53" s="26">
        <v>8</v>
      </c>
    </row>
    <row r="54" spans="3:4">
      <c r="C54" s="25" t="s">
        <v>66</v>
      </c>
      <c r="D54" s="26">
        <v>8</v>
      </c>
    </row>
    <row r="55" spans="3:4">
      <c r="C55" s="25" t="s">
        <v>67</v>
      </c>
      <c r="D55" s="26">
        <v>8</v>
      </c>
    </row>
    <row r="56" spans="3:4">
      <c r="C56" s="25" t="s">
        <v>68</v>
      </c>
      <c r="D56" s="26">
        <v>8</v>
      </c>
    </row>
    <row r="57" spans="3:4">
      <c r="C57" s="25" t="s">
        <v>69</v>
      </c>
      <c r="D57" s="26">
        <v>7</v>
      </c>
    </row>
    <row r="58" spans="3:4">
      <c r="C58" s="25" t="s">
        <v>70</v>
      </c>
      <c r="D58" s="26">
        <v>7</v>
      </c>
    </row>
    <row r="59" spans="3:4">
      <c r="C59" s="25" t="s">
        <v>71</v>
      </c>
      <c r="D59" s="26">
        <v>7</v>
      </c>
    </row>
    <row r="60" spans="3:4">
      <c r="C60" s="25" t="s">
        <v>72</v>
      </c>
      <c r="D60" s="26">
        <v>7</v>
      </c>
    </row>
    <row r="61" spans="3:4">
      <c r="C61" s="25" t="s">
        <v>73</v>
      </c>
      <c r="D61" s="26">
        <v>6</v>
      </c>
    </row>
    <row r="62" spans="3:4">
      <c r="C62" s="25" t="s">
        <v>74</v>
      </c>
      <c r="D62" s="26">
        <v>6</v>
      </c>
    </row>
    <row r="63" spans="3:4">
      <c r="C63" s="25" t="s">
        <v>75</v>
      </c>
      <c r="D63" s="26">
        <v>6</v>
      </c>
    </row>
    <row r="64" spans="3:4">
      <c r="C64" s="25" t="s">
        <v>76</v>
      </c>
      <c r="D64" s="26">
        <v>6</v>
      </c>
    </row>
    <row r="65" spans="3:4">
      <c r="C65" s="25" t="s">
        <v>77</v>
      </c>
      <c r="D65" s="26">
        <v>6</v>
      </c>
    </row>
    <row r="66" spans="3:4">
      <c r="C66" s="25" t="s">
        <v>78</v>
      </c>
      <c r="D66" s="26">
        <v>6</v>
      </c>
    </row>
    <row r="67" spans="3:4">
      <c r="C67" s="25" t="s">
        <v>79</v>
      </c>
      <c r="D67" s="26">
        <v>6</v>
      </c>
    </row>
    <row r="68" spans="3:4">
      <c r="C68" s="25" t="s">
        <v>80</v>
      </c>
      <c r="D68" s="26">
        <v>6</v>
      </c>
    </row>
    <row r="69" spans="3:4">
      <c r="C69" s="25" t="s">
        <v>81</v>
      </c>
      <c r="D69" s="26">
        <v>6</v>
      </c>
    </row>
    <row r="70" spans="3:4">
      <c r="C70" s="25" t="s">
        <v>82</v>
      </c>
      <c r="D70" s="26">
        <v>5</v>
      </c>
    </row>
    <row r="71" spans="3:4">
      <c r="C71" s="25" t="s">
        <v>83</v>
      </c>
      <c r="D71" s="26">
        <v>5</v>
      </c>
    </row>
    <row r="72" spans="3:4">
      <c r="C72" s="25" t="s">
        <v>84</v>
      </c>
      <c r="D72" s="26">
        <v>5</v>
      </c>
    </row>
    <row r="73" spans="3:4">
      <c r="C73" s="25" t="s">
        <v>85</v>
      </c>
      <c r="D73" s="26">
        <v>5</v>
      </c>
    </row>
    <row r="74" spans="3:4">
      <c r="C74" s="25" t="s">
        <v>86</v>
      </c>
      <c r="D74" s="26">
        <v>5</v>
      </c>
    </row>
    <row r="75" spans="3:4">
      <c r="C75" s="25" t="s">
        <v>87</v>
      </c>
      <c r="D75" s="26">
        <v>4</v>
      </c>
    </row>
    <row r="76" spans="3:4">
      <c r="C76" s="25" t="s">
        <v>88</v>
      </c>
      <c r="D76" s="26">
        <v>4</v>
      </c>
    </row>
    <row r="77" spans="3:4">
      <c r="C77" s="25" t="s">
        <v>89</v>
      </c>
      <c r="D77" s="26">
        <v>4</v>
      </c>
    </row>
    <row r="78" spans="3:4">
      <c r="C78" s="25" t="s">
        <v>90</v>
      </c>
      <c r="D78" s="26">
        <v>4</v>
      </c>
    </row>
    <row r="79" spans="3:4">
      <c r="C79" s="25" t="s">
        <v>91</v>
      </c>
      <c r="D79" s="26">
        <v>4</v>
      </c>
    </row>
    <row r="80" spans="3:4">
      <c r="C80" s="25" t="s">
        <v>92</v>
      </c>
      <c r="D80" s="26">
        <v>4</v>
      </c>
    </row>
    <row r="81" spans="3:4">
      <c r="C81" s="25" t="s">
        <v>93</v>
      </c>
      <c r="D81" s="26">
        <v>4</v>
      </c>
    </row>
    <row r="82" spans="3:4">
      <c r="C82" s="25" t="s">
        <v>94</v>
      </c>
      <c r="D82" s="26">
        <v>4</v>
      </c>
    </row>
    <row r="83" spans="3:4">
      <c r="C83" s="25" t="s">
        <v>95</v>
      </c>
      <c r="D83" s="26">
        <v>4</v>
      </c>
    </row>
    <row r="84" spans="3:4">
      <c r="C84" s="25" t="s">
        <v>96</v>
      </c>
      <c r="D84" s="26">
        <v>4</v>
      </c>
    </row>
    <row r="85" spans="3:4">
      <c r="C85" s="25" t="s">
        <v>97</v>
      </c>
      <c r="D85" s="26">
        <v>4</v>
      </c>
    </row>
    <row r="86" spans="3:4">
      <c r="C86" s="25" t="s">
        <v>98</v>
      </c>
      <c r="D86" s="26">
        <v>4</v>
      </c>
    </row>
    <row r="87" spans="3:4">
      <c r="C87" s="25" t="s">
        <v>99</v>
      </c>
      <c r="D87" s="26">
        <v>4</v>
      </c>
    </row>
    <row r="88" spans="3:4">
      <c r="C88" s="25" t="s">
        <v>100</v>
      </c>
      <c r="D88" s="26">
        <v>4</v>
      </c>
    </row>
    <row r="89" spans="3:4">
      <c r="C89" s="25" t="s">
        <v>101</v>
      </c>
      <c r="D89" s="26">
        <v>4</v>
      </c>
    </row>
    <row r="90" spans="3:4">
      <c r="C90" s="25" t="s">
        <v>102</v>
      </c>
      <c r="D90" s="26">
        <v>4</v>
      </c>
    </row>
    <row r="91" spans="3:4">
      <c r="C91" s="25" t="s">
        <v>103</v>
      </c>
      <c r="D91" s="26">
        <v>4</v>
      </c>
    </row>
    <row r="92" spans="3:4">
      <c r="C92" s="25" t="s">
        <v>104</v>
      </c>
      <c r="D92" s="26">
        <v>4</v>
      </c>
    </row>
    <row r="93" spans="3:4">
      <c r="C93" s="25" t="s">
        <v>105</v>
      </c>
      <c r="D93" s="26">
        <v>4</v>
      </c>
    </row>
    <row r="94" spans="3:4">
      <c r="C94" s="25" t="s">
        <v>106</v>
      </c>
      <c r="D94" s="26">
        <v>3</v>
      </c>
    </row>
    <row r="95" spans="3:4">
      <c r="C95" s="25" t="s">
        <v>107</v>
      </c>
      <c r="D95" s="26">
        <v>3</v>
      </c>
    </row>
    <row r="96" spans="3:4">
      <c r="C96" s="25" t="s">
        <v>108</v>
      </c>
      <c r="D96" s="26">
        <v>3</v>
      </c>
    </row>
    <row r="97" spans="3:4">
      <c r="C97" s="25" t="s">
        <v>109</v>
      </c>
      <c r="D97" s="26">
        <v>3</v>
      </c>
    </row>
    <row r="98" spans="3:4">
      <c r="C98" s="25" t="s">
        <v>110</v>
      </c>
      <c r="D98" s="26">
        <v>3</v>
      </c>
    </row>
    <row r="99" spans="3:4">
      <c r="C99" s="25" t="s">
        <v>111</v>
      </c>
      <c r="D99" s="26">
        <v>3</v>
      </c>
    </row>
    <row r="100" spans="3:4">
      <c r="C100" s="25" t="s">
        <v>112</v>
      </c>
      <c r="D100" s="26">
        <v>3</v>
      </c>
    </row>
    <row r="101" spans="3:4">
      <c r="C101" s="25" t="s">
        <v>113</v>
      </c>
      <c r="D101" s="26">
        <v>3</v>
      </c>
    </row>
    <row r="102" spans="3:4">
      <c r="C102" s="25" t="s">
        <v>114</v>
      </c>
      <c r="D102" s="26">
        <v>3</v>
      </c>
    </row>
    <row r="103" spans="3:4">
      <c r="C103" s="25" t="s">
        <v>115</v>
      </c>
      <c r="D103" s="26">
        <v>3</v>
      </c>
    </row>
    <row r="104" spans="3:4">
      <c r="C104" s="25" t="s">
        <v>116</v>
      </c>
      <c r="D104" s="26">
        <v>3</v>
      </c>
    </row>
    <row r="105" spans="3:4">
      <c r="C105" s="25" t="s">
        <v>117</v>
      </c>
      <c r="D105" s="26">
        <v>3</v>
      </c>
    </row>
    <row r="106" spans="3:4">
      <c r="C106" s="25" t="s">
        <v>118</v>
      </c>
      <c r="D106" s="26">
        <v>3</v>
      </c>
    </row>
    <row r="107" spans="3:4">
      <c r="C107" s="25" t="s">
        <v>119</v>
      </c>
      <c r="D107" s="26">
        <v>3</v>
      </c>
    </row>
    <row r="108" spans="3:4">
      <c r="C108" s="25" t="s">
        <v>120</v>
      </c>
      <c r="D108" s="26">
        <v>3</v>
      </c>
    </row>
    <row r="109" spans="3:4">
      <c r="C109" s="25" t="s">
        <v>121</v>
      </c>
      <c r="D109" s="26">
        <v>3</v>
      </c>
    </row>
    <row r="110" spans="3:4">
      <c r="C110" s="25" t="s">
        <v>122</v>
      </c>
      <c r="D110" s="26">
        <v>3</v>
      </c>
    </row>
    <row r="111" spans="3:4">
      <c r="C111" s="25" t="s">
        <v>123</v>
      </c>
      <c r="D111" s="26">
        <v>3</v>
      </c>
    </row>
    <row r="112" spans="3:4">
      <c r="C112" s="25" t="s">
        <v>124</v>
      </c>
      <c r="D112" s="26">
        <v>3</v>
      </c>
    </row>
    <row r="113" spans="3:4">
      <c r="C113" s="25" t="s">
        <v>125</v>
      </c>
      <c r="D113" s="26">
        <v>3</v>
      </c>
    </row>
    <row r="114" spans="3:4">
      <c r="C114" s="25" t="s">
        <v>126</v>
      </c>
      <c r="D114" s="26">
        <v>3</v>
      </c>
    </row>
    <row r="115" spans="3:4">
      <c r="C115" s="25" t="s">
        <v>127</v>
      </c>
      <c r="D115" s="26">
        <v>3</v>
      </c>
    </row>
    <row r="116" spans="3:4">
      <c r="C116" s="25" t="s">
        <v>128</v>
      </c>
      <c r="D116" s="26">
        <v>3</v>
      </c>
    </row>
    <row r="117" spans="3:4">
      <c r="C117" s="25" t="s">
        <v>129</v>
      </c>
      <c r="D117" s="26">
        <v>2</v>
      </c>
    </row>
    <row r="118" spans="3:4">
      <c r="C118" s="25" t="s">
        <v>130</v>
      </c>
      <c r="D118" s="26">
        <v>2</v>
      </c>
    </row>
    <row r="119" spans="3:4">
      <c r="C119" s="25" t="s">
        <v>131</v>
      </c>
      <c r="D119" s="26">
        <v>2</v>
      </c>
    </row>
    <row r="120" spans="3:4">
      <c r="C120" s="25" t="s">
        <v>132</v>
      </c>
      <c r="D120" s="26">
        <v>2</v>
      </c>
    </row>
    <row r="121" spans="3:4">
      <c r="C121" s="25" t="s">
        <v>133</v>
      </c>
      <c r="D121" s="26">
        <v>2</v>
      </c>
    </row>
    <row r="122" spans="3:4">
      <c r="C122" s="25" t="s">
        <v>134</v>
      </c>
      <c r="D122" s="26">
        <v>2</v>
      </c>
    </row>
    <row r="123" spans="3:4">
      <c r="C123" s="25" t="s">
        <v>135</v>
      </c>
      <c r="D123" s="26">
        <v>2</v>
      </c>
    </row>
    <row r="124" spans="3:4">
      <c r="C124" s="25" t="s">
        <v>136</v>
      </c>
      <c r="D124" s="26">
        <v>2</v>
      </c>
    </row>
    <row r="125" spans="3:4">
      <c r="C125" s="25" t="s">
        <v>137</v>
      </c>
      <c r="D125" s="26">
        <v>2</v>
      </c>
    </row>
    <row r="126" spans="3:4">
      <c r="C126" s="25" t="s">
        <v>138</v>
      </c>
      <c r="D126" s="26">
        <v>2</v>
      </c>
    </row>
    <row r="127" spans="3:4">
      <c r="C127" s="25" t="s">
        <v>139</v>
      </c>
      <c r="D127" s="26">
        <v>2</v>
      </c>
    </row>
    <row r="128" spans="3:4">
      <c r="C128" s="25" t="s">
        <v>140</v>
      </c>
      <c r="D128" s="26">
        <v>2</v>
      </c>
    </row>
    <row r="129" spans="3:4">
      <c r="C129" s="25" t="s">
        <v>141</v>
      </c>
      <c r="D129" s="26">
        <v>2</v>
      </c>
    </row>
    <row r="130" spans="3:4">
      <c r="C130" s="25" t="s">
        <v>142</v>
      </c>
      <c r="D130" s="26">
        <v>2</v>
      </c>
    </row>
    <row r="131" spans="3:4">
      <c r="C131" s="25" t="s">
        <v>143</v>
      </c>
      <c r="D131" s="26">
        <v>2</v>
      </c>
    </row>
    <row r="132" spans="3:4">
      <c r="C132" s="25" t="s">
        <v>144</v>
      </c>
      <c r="D132" s="26">
        <v>2</v>
      </c>
    </row>
    <row r="133" spans="3:4">
      <c r="C133" s="25" t="s">
        <v>145</v>
      </c>
      <c r="D133" s="26">
        <v>2</v>
      </c>
    </row>
    <row r="134" spans="3:4">
      <c r="C134" s="25" t="s">
        <v>146</v>
      </c>
      <c r="D134" s="26">
        <v>2</v>
      </c>
    </row>
    <row r="135" spans="3:4">
      <c r="C135" s="25" t="s">
        <v>147</v>
      </c>
      <c r="D135" s="26">
        <v>2</v>
      </c>
    </row>
    <row r="136" spans="3:4">
      <c r="C136" s="25" t="s">
        <v>148</v>
      </c>
      <c r="D136" s="26">
        <v>2</v>
      </c>
    </row>
    <row r="137" spans="3:4">
      <c r="C137" s="25" t="s">
        <v>149</v>
      </c>
      <c r="D137" s="26">
        <v>2</v>
      </c>
    </row>
    <row r="138" spans="3:4">
      <c r="C138" s="25" t="s">
        <v>150</v>
      </c>
      <c r="D138" s="26">
        <v>2</v>
      </c>
    </row>
    <row r="139" spans="3:4">
      <c r="C139" s="25" t="s">
        <v>151</v>
      </c>
      <c r="D139" s="26">
        <v>2</v>
      </c>
    </row>
    <row r="140" spans="3:4">
      <c r="C140" s="25" t="s">
        <v>152</v>
      </c>
      <c r="D140" s="26">
        <v>2</v>
      </c>
    </row>
    <row r="141" spans="3:4">
      <c r="C141" s="25" t="s">
        <v>153</v>
      </c>
      <c r="D141" s="26">
        <v>2</v>
      </c>
    </row>
    <row r="142" spans="3:4">
      <c r="C142" s="25" t="s">
        <v>154</v>
      </c>
      <c r="D142" s="26">
        <v>2</v>
      </c>
    </row>
    <row r="143" spans="3:4">
      <c r="C143" s="25" t="s">
        <v>155</v>
      </c>
      <c r="D143" s="26">
        <v>2</v>
      </c>
    </row>
    <row r="144" spans="3:4">
      <c r="C144" s="25" t="s">
        <v>156</v>
      </c>
      <c r="D144" s="26">
        <v>2</v>
      </c>
    </row>
    <row r="145" spans="3:4">
      <c r="C145" s="25" t="s">
        <v>157</v>
      </c>
      <c r="D145" s="26">
        <v>2</v>
      </c>
    </row>
    <row r="146" spans="3:4">
      <c r="C146" s="25" t="s">
        <v>158</v>
      </c>
      <c r="D146" s="26">
        <v>2</v>
      </c>
    </row>
    <row r="147" spans="3:4">
      <c r="C147" s="25" t="s">
        <v>159</v>
      </c>
      <c r="D147" s="26">
        <v>2</v>
      </c>
    </row>
    <row r="148" spans="3:4">
      <c r="C148" s="25" t="s">
        <v>160</v>
      </c>
      <c r="D148" s="26">
        <v>2</v>
      </c>
    </row>
    <row r="149" spans="3:4">
      <c r="C149" s="25" t="s">
        <v>161</v>
      </c>
      <c r="D149" s="26">
        <v>2</v>
      </c>
    </row>
    <row r="150" spans="3:4">
      <c r="C150" s="25" t="s">
        <v>162</v>
      </c>
      <c r="D150" s="26">
        <v>2</v>
      </c>
    </row>
    <row r="151" spans="3:4">
      <c r="C151" s="25" t="s">
        <v>163</v>
      </c>
      <c r="D151" s="26">
        <v>2</v>
      </c>
    </row>
    <row r="152" spans="3:4">
      <c r="C152" s="25" t="s">
        <v>164</v>
      </c>
      <c r="D152" s="26">
        <v>2</v>
      </c>
    </row>
    <row r="153" spans="3:4">
      <c r="C153" s="25" t="s">
        <v>165</v>
      </c>
      <c r="D153" s="26">
        <v>2</v>
      </c>
    </row>
    <row r="154" spans="3:4">
      <c r="C154" s="25" t="s">
        <v>166</v>
      </c>
      <c r="D154" s="26">
        <v>2</v>
      </c>
    </row>
    <row r="155" spans="3:4">
      <c r="C155" s="25" t="s">
        <v>167</v>
      </c>
      <c r="D155" s="26">
        <v>2</v>
      </c>
    </row>
    <row r="156" spans="3:4">
      <c r="C156" s="25" t="s">
        <v>168</v>
      </c>
      <c r="D156" s="26">
        <v>2</v>
      </c>
    </row>
    <row r="157" spans="3:4">
      <c r="C157" s="25" t="s">
        <v>169</v>
      </c>
      <c r="D157" s="26">
        <v>2</v>
      </c>
    </row>
    <row r="158" spans="3:4">
      <c r="C158" s="25" t="s">
        <v>170</v>
      </c>
      <c r="D158" s="26">
        <v>2</v>
      </c>
    </row>
    <row r="159" spans="3:4">
      <c r="C159" s="25" t="s">
        <v>171</v>
      </c>
      <c r="D159" s="26">
        <v>2</v>
      </c>
    </row>
    <row r="160" spans="3:4">
      <c r="C160" s="25" t="s">
        <v>172</v>
      </c>
      <c r="D160" s="26">
        <v>2</v>
      </c>
    </row>
    <row r="161" spans="3:4">
      <c r="C161" s="25" t="s">
        <v>173</v>
      </c>
      <c r="D161" s="26">
        <v>2</v>
      </c>
    </row>
    <row r="162" spans="3:4">
      <c r="C162" s="25" t="s">
        <v>174</v>
      </c>
      <c r="D162" s="26">
        <v>2</v>
      </c>
    </row>
    <row r="163" spans="3:4">
      <c r="C163" s="25" t="s">
        <v>175</v>
      </c>
      <c r="D163" s="26">
        <v>2</v>
      </c>
    </row>
    <row r="164" spans="3:4">
      <c r="C164" s="25" t="s">
        <v>176</v>
      </c>
      <c r="D164" s="26">
        <v>2</v>
      </c>
    </row>
    <row r="165" spans="3:4">
      <c r="C165" s="25" t="s">
        <v>177</v>
      </c>
      <c r="D165" s="26">
        <v>2</v>
      </c>
    </row>
    <row r="166" spans="3:4">
      <c r="C166" s="25" t="s">
        <v>178</v>
      </c>
      <c r="D166" s="26">
        <v>2</v>
      </c>
    </row>
    <row r="167" spans="3:4">
      <c r="C167" s="25" t="s">
        <v>179</v>
      </c>
      <c r="D167" s="26">
        <v>2</v>
      </c>
    </row>
    <row r="168" spans="3:4">
      <c r="C168" s="25" t="s">
        <v>180</v>
      </c>
      <c r="D168" s="26">
        <v>2</v>
      </c>
    </row>
    <row r="169" spans="3:4">
      <c r="C169" s="25" t="s">
        <v>181</v>
      </c>
      <c r="D169" s="26">
        <v>2</v>
      </c>
    </row>
    <row r="170" spans="3:4">
      <c r="C170" s="25" t="s">
        <v>182</v>
      </c>
      <c r="D170" s="26">
        <v>1</v>
      </c>
    </row>
    <row r="171" spans="3:4">
      <c r="C171" s="25" t="s">
        <v>183</v>
      </c>
      <c r="D171" s="26">
        <v>1</v>
      </c>
    </row>
    <row r="172" spans="3:4">
      <c r="C172" s="25" t="s">
        <v>184</v>
      </c>
      <c r="D172" s="26">
        <v>1</v>
      </c>
    </row>
    <row r="173" spans="3:4">
      <c r="C173" s="25" t="s">
        <v>185</v>
      </c>
      <c r="D173" s="26">
        <v>1</v>
      </c>
    </row>
    <row r="174" spans="3:4">
      <c r="C174" s="25" t="s">
        <v>186</v>
      </c>
      <c r="D174" s="26">
        <v>1</v>
      </c>
    </row>
    <row r="175" spans="3:4">
      <c r="C175" s="25" t="s">
        <v>187</v>
      </c>
      <c r="D175" s="26">
        <v>1</v>
      </c>
    </row>
    <row r="176" spans="3:4">
      <c r="C176" s="25" t="s">
        <v>188</v>
      </c>
      <c r="D176" s="26">
        <v>1</v>
      </c>
    </row>
    <row r="177" spans="3:4">
      <c r="C177" s="25" t="s">
        <v>189</v>
      </c>
      <c r="D177" s="26">
        <v>1</v>
      </c>
    </row>
    <row r="178" spans="3:4">
      <c r="C178" s="25" t="s">
        <v>190</v>
      </c>
      <c r="D178" s="26">
        <v>1</v>
      </c>
    </row>
    <row r="179" spans="3:4">
      <c r="C179" s="25" t="s">
        <v>191</v>
      </c>
      <c r="D179" s="26">
        <v>1</v>
      </c>
    </row>
    <row r="180" spans="3:4">
      <c r="C180" s="25" t="s">
        <v>192</v>
      </c>
      <c r="D180" s="26">
        <v>1</v>
      </c>
    </row>
    <row r="181" spans="3:4">
      <c r="C181" s="25" t="s">
        <v>193</v>
      </c>
      <c r="D181" s="26">
        <v>1</v>
      </c>
    </row>
    <row r="182" spans="3:4">
      <c r="C182" s="25" t="s">
        <v>194</v>
      </c>
      <c r="D182" s="26">
        <v>1</v>
      </c>
    </row>
    <row r="183" spans="3:4">
      <c r="C183" s="25" t="s">
        <v>195</v>
      </c>
      <c r="D183" s="26">
        <v>1</v>
      </c>
    </row>
    <row r="184" spans="3:4">
      <c r="C184" s="25" t="s">
        <v>196</v>
      </c>
      <c r="D184" s="26">
        <v>1</v>
      </c>
    </row>
    <row r="185" spans="3:4">
      <c r="C185" s="25" t="s">
        <v>197</v>
      </c>
      <c r="D185" s="26">
        <v>1</v>
      </c>
    </row>
    <row r="186" spans="3:4">
      <c r="C186" s="25" t="s">
        <v>198</v>
      </c>
      <c r="D186" s="26">
        <v>1</v>
      </c>
    </row>
    <row r="187" spans="3:4">
      <c r="C187" s="25" t="s">
        <v>199</v>
      </c>
      <c r="D187" s="26">
        <v>1</v>
      </c>
    </row>
    <row r="188" spans="3:4">
      <c r="C188" s="25" t="s">
        <v>200</v>
      </c>
      <c r="D188" s="26">
        <v>1</v>
      </c>
    </row>
    <row r="189" spans="3:4">
      <c r="C189" s="25" t="s">
        <v>201</v>
      </c>
      <c r="D189" s="26">
        <v>1</v>
      </c>
    </row>
    <row r="190" spans="3:4">
      <c r="C190" s="25" t="s">
        <v>202</v>
      </c>
      <c r="D190" s="26">
        <v>1</v>
      </c>
    </row>
    <row r="191" spans="3:4">
      <c r="C191" s="25" t="s">
        <v>203</v>
      </c>
      <c r="D191" s="26">
        <v>1</v>
      </c>
    </row>
    <row r="192" spans="3:4">
      <c r="C192" s="25" t="s">
        <v>204</v>
      </c>
      <c r="D192" s="26">
        <v>1</v>
      </c>
    </row>
    <row r="193" spans="3:4">
      <c r="C193" s="25" t="s">
        <v>205</v>
      </c>
      <c r="D193" s="26">
        <v>1</v>
      </c>
    </row>
    <row r="194" spans="3:4">
      <c r="C194" s="25" t="s">
        <v>206</v>
      </c>
      <c r="D194" s="26">
        <v>1</v>
      </c>
    </row>
    <row r="195" spans="3:4">
      <c r="C195" s="25" t="s">
        <v>207</v>
      </c>
      <c r="D195" s="26">
        <v>1</v>
      </c>
    </row>
    <row r="196" spans="3:4">
      <c r="C196" s="25" t="s">
        <v>208</v>
      </c>
      <c r="D196" s="26">
        <v>1</v>
      </c>
    </row>
    <row r="197" spans="3:4">
      <c r="C197" s="25" t="s">
        <v>209</v>
      </c>
      <c r="D197" s="26">
        <v>1</v>
      </c>
    </row>
    <row r="198" spans="3:4">
      <c r="C198" s="25" t="s">
        <v>210</v>
      </c>
      <c r="D198" s="26">
        <v>1</v>
      </c>
    </row>
    <row r="199" spans="3:4">
      <c r="C199" s="25" t="s">
        <v>211</v>
      </c>
      <c r="D199" s="26">
        <v>1</v>
      </c>
    </row>
    <row r="200" spans="3:4">
      <c r="C200" s="25" t="s">
        <v>212</v>
      </c>
      <c r="D200" s="26">
        <v>1</v>
      </c>
    </row>
    <row r="201" spans="3:4">
      <c r="C201" s="25" t="s">
        <v>213</v>
      </c>
      <c r="D201" s="26">
        <v>1</v>
      </c>
    </row>
    <row r="202" spans="3:4">
      <c r="C202" s="25" t="s">
        <v>214</v>
      </c>
      <c r="D202" s="26">
        <v>1</v>
      </c>
    </row>
    <row r="203" spans="3:4">
      <c r="C203" s="25" t="s">
        <v>215</v>
      </c>
      <c r="D203" s="26">
        <v>1</v>
      </c>
    </row>
    <row r="204" spans="3:4">
      <c r="C204" s="25" t="s">
        <v>216</v>
      </c>
      <c r="D204" s="26">
        <v>1</v>
      </c>
    </row>
    <row r="205" spans="3:4">
      <c r="C205" s="25" t="s">
        <v>217</v>
      </c>
      <c r="D205" s="26">
        <v>1</v>
      </c>
    </row>
    <row r="206" spans="3:4">
      <c r="C206" s="25" t="s">
        <v>218</v>
      </c>
      <c r="D206" s="26">
        <v>1</v>
      </c>
    </row>
    <row r="207" spans="3:4">
      <c r="C207" s="25" t="s">
        <v>219</v>
      </c>
      <c r="D207" s="26">
        <v>1</v>
      </c>
    </row>
    <row r="208" spans="3:4">
      <c r="C208" s="25" t="s">
        <v>220</v>
      </c>
      <c r="D208" s="26">
        <v>1</v>
      </c>
    </row>
    <row r="209" spans="3:4">
      <c r="C209" s="25" t="s">
        <v>221</v>
      </c>
      <c r="D209" s="26">
        <v>1</v>
      </c>
    </row>
    <row r="210" spans="3:4">
      <c r="C210" s="25" t="s">
        <v>222</v>
      </c>
      <c r="D210" s="26">
        <v>1</v>
      </c>
    </row>
    <row r="211" spans="3:4">
      <c r="C211" s="25" t="s">
        <v>223</v>
      </c>
      <c r="D211" s="26">
        <v>1</v>
      </c>
    </row>
    <row r="212" spans="3:4">
      <c r="C212" s="25" t="s">
        <v>224</v>
      </c>
      <c r="D212" s="26">
        <v>1</v>
      </c>
    </row>
    <row r="213" spans="3:4">
      <c r="C213" s="25" t="s">
        <v>225</v>
      </c>
      <c r="D213" s="26">
        <v>1</v>
      </c>
    </row>
    <row r="214" spans="3:4">
      <c r="C214" s="25" t="s">
        <v>226</v>
      </c>
      <c r="D214" s="26">
        <v>1</v>
      </c>
    </row>
    <row r="215" spans="3:4">
      <c r="C215" s="25" t="s">
        <v>227</v>
      </c>
      <c r="D215" s="26">
        <v>1</v>
      </c>
    </row>
    <row r="216" spans="3:4">
      <c r="C216" s="25" t="s">
        <v>228</v>
      </c>
      <c r="D216" s="26">
        <v>1</v>
      </c>
    </row>
    <row r="217" spans="3:4">
      <c r="C217" s="25" t="s">
        <v>229</v>
      </c>
      <c r="D217" s="26">
        <v>1</v>
      </c>
    </row>
    <row r="218" spans="3:4">
      <c r="C218" s="25" t="s">
        <v>230</v>
      </c>
      <c r="D218" s="26">
        <v>1</v>
      </c>
    </row>
    <row r="219" spans="3:4">
      <c r="C219" s="25" t="s">
        <v>231</v>
      </c>
      <c r="D219" s="26">
        <v>1</v>
      </c>
    </row>
    <row r="220" spans="3:4">
      <c r="C220" s="25" t="s">
        <v>232</v>
      </c>
      <c r="D220" s="26">
        <v>1</v>
      </c>
    </row>
    <row r="221" spans="3:4">
      <c r="C221" s="25" t="s">
        <v>233</v>
      </c>
      <c r="D221" s="26">
        <v>1</v>
      </c>
    </row>
    <row r="222" spans="3:4">
      <c r="C222" s="25" t="s">
        <v>234</v>
      </c>
      <c r="D222" s="26">
        <v>1</v>
      </c>
    </row>
    <row r="223" spans="3:4">
      <c r="C223" s="25" t="s">
        <v>235</v>
      </c>
      <c r="D223" s="26">
        <v>1</v>
      </c>
    </row>
    <row r="224" spans="3:4">
      <c r="C224" s="25" t="s">
        <v>236</v>
      </c>
      <c r="D224" s="26">
        <v>1</v>
      </c>
    </row>
    <row r="225" spans="3:4">
      <c r="C225" s="25" t="s">
        <v>237</v>
      </c>
      <c r="D225" s="26">
        <v>1</v>
      </c>
    </row>
    <row r="226" spans="3:4">
      <c r="C226" s="25" t="s">
        <v>238</v>
      </c>
      <c r="D226" s="26">
        <v>1</v>
      </c>
    </row>
    <row r="227" spans="3:4">
      <c r="C227" s="25" t="s">
        <v>239</v>
      </c>
      <c r="D227" s="26">
        <v>1</v>
      </c>
    </row>
    <row r="228" spans="3:4">
      <c r="C228" s="25" t="s">
        <v>240</v>
      </c>
      <c r="D228" s="26">
        <v>1</v>
      </c>
    </row>
    <row r="229" spans="3:4">
      <c r="C229" s="25" t="s">
        <v>241</v>
      </c>
      <c r="D229" s="26">
        <v>1</v>
      </c>
    </row>
    <row r="230" spans="3:4">
      <c r="C230" s="25" t="s">
        <v>242</v>
      </c>
      <c r="D230" s="26">
        <v>1</v>
      </c>
    </row>
    <row r="231" spans="3:4">
      <c r="C231" s="25" t="s">
        <v>243</v>
      </c>
      <c r="D231" s="26">
        <v>1</v>
      </c>
    </row>
    <row r="232" spans="3:4">
      <c r="C232" s="25" t="s">
        <v>244</v>
      </c>
      <c r="D232" s="26">
        <v>1</v>
      </c>
    </row>
    <row r="233" spans="3:4">
      <c r="C233" s="25" t="s">
        <v>245</v>
      </c>
      <c r="D233" s="26">
        <v>1</v>
      </c>
    </row>
    <row r="234" spans="3:4">
      <c r="C234" s="25" t="s">
        <v>246</v>
      </c>
      <c r="D234" s="26">
        <v>1</v>
      </c>
    </row>
    <row r="235" spans="3:4">
      <c r="C235" s="25" t="s">
        <v>247</v>
      </c>
      <c r="D235" s="26">
        <v>1</v>
      </c>
    </row>
    <row r="236" spans="3:4">
      <c r="C236" s="25" t="s">
        <v>248</v>
      </c>
      <c r="D236" s="26">
        <v>1</v>
      </c>
    </row>
    <row r="237" spans="3:4">
      <c r="C237" s="25" t="s">
        <v>249</v>
      </c>
      <c r="D237" s="26">
        <v>1</v>
      </c>
    </row>
    <row r="238" spans="3:4">
      <c r="C238" s="25" t="s">
        <v>250</v>
      </c>
      <c r="D238" s="26">
        <v>1</v>
      </c>
    </row>
    <row r="239" spans="3:4">
      <c r="C239" s="25" t="s">
        <v>251</v>
      </c>
      <c r="D239" s="26">
        <v>1</v>
      </c>
    </row>
    <row r="240" spans="3:4">
      <c r="C240" s="25" t="s">
        <v>252</v>
      </c>
      <c r="D240" s="26">
        <v>1</v>
      </c>
    </row>
    <row r="241" spans="3:4">
      <c r="C241" s="25" t="s">
        <v>253</v>
      </c>
      <c r="D241" s="26">
        <v>1</v>
      </c>
    </row>
    <row r="242" spans="3:4">
      <c r="C242" s="25" t="s">
        <v>254</v>
      </c>
      <c r="D242" s="26">
        <v>1</v>
      </c>
    </row>
    <row r="243" spans="3:4">
      <c r="C243" s="25" t="s">
        <v>255</v>
      </c>
      <c r="D243" s="26">
        <v>1</v>
      </c>
    </row>
    <row r="244" spans="3:4">
      <c r="C244" s="25" t="s">
        <v>256</v>
      </c>
      <c r="D244" s="26">
        <v>1</v>
      </c>
    </row>
    <row r="245" spans="3:4">
      <c r="C245" s="25" t="s">
        <v>257</v>
      </c>
      <c r="D245" s="26">
        <v>1</v>
      </c>
    </row>
    <row r="246" spans="3:4">
      <c r="C246" s="25" t="s">
        <v>258</v>
      </c>
      <c r="D246" s="26">
        <v>1</v>
      </c>
    </row>
    <row r="247" spans="3:4">
      <c r="C247" s="25" t="s">
        <v>259</v>
      </c>
      <c r="D247" s="26">
        <v>1</v>
      </c>
    </row>
    <row r="248" spans="3:4">
      <c r="C248" s="25" t="s">
        <v>260</v>
      </c>
      <c r="D248" s="26">
        <v>1</v>
      </c>
    </row>
    <row r="249" spans="3:4">
      <c r="C249" s="25" t="s">
        <v>261</v>
      </c>
      <c r="D249" s="26">
        <v>1</v>
      </c>
    </row>
    <row r="250" spans="3:4">
      <c r="C250" s="25" t="s">
        <v>262</v>
      </c>
      <c r="D250" s="26">
        <v>1</v>
      </c>
    </row>
    <row r="251" spans="3:4">
      <c r="C251" s="25" t="s">
        <v>263</v>
      </c>
      <c r="D251" s="26">
        <v>1</v>
      </c>
    </row>
    <row r="252" spans="3:4">
      <c r="C252" s="25" t="s">
        <v>264</v>
      </c>
      <c r="D252" s="26">
        <v>1</v>
      </c>
    </row>
    <row r="253" spans="3:4">
      <c r="C253" s="25" t="s">
        <v>265</v>
      </c>
      <c r="D253" s="26">
        <v>1</v>
      </c>
    </row>
    <row r="254" spans="3:4">
      <c r="C254" s="25" t="s">
        <v>266</v>
      </c>
      <c r="D254" s="26">
        <v>1</v>
      </c>
    </row>
    <row r="255" spans="3:4">
      <c r="C255" s="25" t="s">
        <v>267</v>
      </c>
      <c r="D255" s="26">
        <v>1</v>
      </c>
    </row>
    <row r="256" spans="3:4">
      <c r="C256" s="25" t="s">
        <v>268</v>
      </c>
      <c r="D256" s="26">
        <v>1</v>
      </c>
    </row>
    <row r="257" spans="3:4">
      <c r="C257" s="25" t="s">
        <v>269</v>
      </c>
      <c r="D257" s="26">
        <v>1</v>
      </c>
    </row>
    <row r="258" spans="3:4">
      <c r="C258" s="25" t="s">
        <v>270</v>
      </c>
      <c r="D258" s="26">
        <v>1</v>
      </c>
    </row>
    <row r="259" spans="3:4">
      <c r="C259" s="25" t="s">
        <v>271</v>
      </c>
      <c r="D259" s="26">
        <v>1</v>
      </c>
    </row>
    <row r="260" spans="3:4">
      <c r="C260" s="25" t="s">
        <v>272</v>
      </c>
      <c r="D260" s="26">
        <v>1</v>
      </c>
    </row>
    <row r="261" spans="3:4">
      <c r="C261" s="25" t="s">
        <v>273</v>
      </c>
      <c r="D261" s="26">
        <v>1</v>
      </c>
    </row>
    <row r="262" spans="3:4">
      <c r="C262" s="25" t="s">
        <v>274</v>
      </c>
      <c r="D262" s="26">
        <v>1</v>
      </c>
    </row>
    <row r="263" spans="3:4">
      <c r="C263" s="25" t="s">
        <v>275</v>
      </c>
      <c r="D263" s="26">
        <v>1</v>
      </c>
    </row>
    <row r="264" spans="3:4">
      <c r="C264" s="25" t="s">
        <v>276</v>
      </c>
      <c r="D264" s="26">
        <v>1</v>
      </c>
    </row>
    <row r="265" spans="3:4">
      <c r="C265" s="25" t="s">
        <v>277</v>
      </c>
      <c r="D265" s="26">
        <v>1</v>
      </c>
    </row>
    <row r="266" spans="3:4">
      <c r="C266" s="25" t="s">
        <v>278</v>
      </c>
      <c r="D266" s="26">
        <v>1</v>
      </c>
    </row>
    <row r="267" spans="3:4">
      <c r="C267" s="25" t="s">
        <v>279</v>
      </c>
      <c r="D267" s="26">
        <v>1</v>
      </c>
    </row>
    <row r="268" spans="3:4">
      <c r="C268" s="25" t="s">
        <v>280</v>
      </c>
      <c r="D268" s="26">
        <v>1</v>
      </c>
    </row>
    <row r="269" spans="3:4">
      <c r="C269" s="25" t="s">
        <v>281</v>
      </c>
      <c r="D269" s="26">
        <v>1</v>
      </c>
    </row>
    <row r="270" spans="3:4">
      <c r="C270" s="25" t="s">
        <v>282</v>
      </c>
      <c r="D270" s="26">
        <v>1</v>
      </c>
    </row>
    <row r="271" spans="3:4">
      <c r="C271" s="25" t="s">
        <v>283</v>
      </c>
      <c r="D271" s="26">
        <v>1</v>
      </c>
    </row>
    <row r="272" spans="3:4">
      <c r="C272" s="25" t="s">
        <v>284</v>
      </c>
      <c r="D272" s="26">
        <v>1</v>
      </c>
    </row>
    <row r="273" spans="3:4">
      <c r="C273" s="25" t="s">
        <v>285</v>
      </c>
      <c r="D273" s="26">
        <v>1</v>
      </c>
    </row>
    <row r="274" spans="3:4">
      <c r="C274" s="25" t="s">
        <v>286</v>
      </c>
      <c r="D274" s="26">
        <v>1</v>
      </c>
    </row>
    <row r="275" spans="3:4">
      <c r="C275" s="25" t="s">
        <v>287</v>
      </c>
      <c r="D275" s="26">
        <v>1</v>
      </c>
    </row>
    <row r="276" spans="3:4">
      <c r="C276" s="25" t="s">
        <v>288</v>
      </c>
      <c r="D276" s="26">
        <v>1</v>
      </c>
    </row>
    <row r="277" spans="3:4">
      <c r="C277" s="25" t="s">
        <v>289</v>
      </c>
      <c r="D277" s="26">
        <v>1</v>
      </c>
    </row>
    <row r="278" spans="3:4">
      <c r="C278" s="25" t="s">
        <v>290</v>
      </c>
      <c r="D278" s="26">
        <v>1</v>
      </c>
    </row>
    <row r="279" spans="3:4">
      <c r="C279" s="25" t="s">
        <v>291</v>
      </c>
      <c r="D279" s="26">
        <v>1</v>
      </c>
    </row>
    <row r="280" spans="3:4">
      <c r="C280" s="25" t="s">
        <v>292</v>
      </c>
      <c r="D280" s="26">
        <v>1</v>
      </c>
    </row>
    <row r="281" spans="3:4">
      <c r="C281" s="25" t="s">
        <v>293</v>
      </c>
      <c r="D281" s="26">
        <v>1</v>
      </c>
    </row>
    <row r="282" spans="3:4">
      <c r="C282" s="25" t="s">
        <v>294</v>
      </c>
      <c r="D282" s="26">
        <v>1</v>
      </c>
    </row>
    <row r="283" spans="3:4">
      <c r="C283" s="25" t="s">
        <v>295</v>
      </c>
      <c r="D283" s="26">
        <v>1</v>
      </c>
    </row>
    <row r="284" spans="3:4">
      <c r="C284" s="25" t="s">
        <v>296</v>
      </c>
      <c r="D284" s="26">
        <v>1</v>
      </c>
    </row>
    <row r="285" spans="3:4">
      <c r="C285" s="25" t="s">
        <v>297</v>
      </c>
      <c r="D285" s="26">
        <v>1</v>
      </c>
    </row>
    <row r="286" spans="3:4">
      <c r="C286" s="25" t="s">
        <v>298</v>
      </c>
      <c r="D286" s="26">
        <v>1</v>
      </c>
    </row>
    <row r="287" spans="3:4">
      <c r="C287" s="25" t="s">
        <v>299</v>
      </c>
      <c r="D287" s="26">
        <v>1</v>
      </c>
    </row>
    <row r="288" spans="3:4">
      <c r="C288" s="25" t="s">
        <v>300</v>
      </c>
      <c r="D288" s="26">
        <v>1</v>
      </c>
    </row>
    <row r="289" spans="3:4">
      <c r="C289" s="25" t="s">
        <v>301</v>
      </c>
      <c r="D289" s="26">
        <v>1</v>
      </c>
    </row>
    <row r="290" spans="3:4">
      <c r="C290" s="25" t="s">
        <v>302</v>
      </c>
      <c r="D290" s="26">
        <v>1</v>
      </c>
    </row>
    <row r="291" spans="3:4">
      <c r="C291" s="25" t="s">
        <v>303</v>
      </c>
      <c r="D291" s="26">
        <v>1</v>
      </c>
    </row>
    <row r="292" spans="3:4">
      <c r="C292" s="25" t="s">
        <v>304</v>
      </c>
      <c r="D292" s="26">
        <v>1</v>
      </c>
    </row>
    <row r="293" spans="3:4">
      <c r="C293" s="25" t="s">
        <v>305</v>
      </c>
      <c r="D293" s="26">
        <v>1</v>
      </c>
    </row>
    <row r="294" spans="3:4">
      <c r="C294" s="25" t="s">
        <v>306</v>
      </c>
      <c r="D294" s="26">
        <v>1</v>
      </c>
    </row>
    <row r="295" spans="3:4">
      <c r="C295" s="25" t="s">
        <v>307</v>
      </c>
      <c r="D295" s="26">
        <v>1</v>
      </c>
    </row>
    <row r="296" spans="3:4">
      <c r="C296" s="25" t="s">
        <v>308</v>
      </c>
      <c r="D296" s="26">
        <v>1</v>
      </c>
    </row>
    <row r="297" spans="3:4">
      <c r="C297" s="25" t="s">
        <v>309</v>
      </c>
      <c r="D297" s="26">
        <v>1</v>
      </c>
    </row>
    <row r="298" spans="3:4">
      <c r="C298" s="25" t="s">
        <v>310</v>
      </c>
      <c r="D298" s="26">
        <v>1</v>
      </c>
    </row>
    <row r="299" spans="3:4">
      <c r="C299" s="25" t="s">
        <v>311</v>
      </c>
      <c r="D299" s="26">
        <v>1</v>
      </c>
    </row>
    <row r="300" spans="3:4">
      <c r="C300" s="25" t="s">
        <v>312</v>
      </c>
      <c r="D300" s="26">
        <v>1</v>
      </c>
    </row>
    <row r="301" spans="3:4">
      <c r="C301" s="25" t="s">
        <v>313</v>
      </c>
      <c r="D301" s="26">
        <v>1</v>
      </c>
    </row>
    <row r="302" spans="3:4">
      <c r="C302" s="25" t="s">
        <v>314</v>
      </c>
      <c r="D302" s="26">
        <v>1</v>
      </c>
    </row>
    <row r="303" spans="3:4">
      <c r="C303" s="25" t="s">
        <v>315</v>
      </c>
      <c r="D303" s="26">
        <v>1</v>
      </c>
    </row>
    <row r="304" spans="3:4">
      <c r="C304" s="25" t="s">
        <v>316</v>
      </c>
      <c r="D304" s="26">
        <v>1</v>
      </c>
    </row>
    <row r="305" spans="3:4">
      <c r="C305" s="25" t="s">
        <v>317</v>
      </c>
      <c r="D305" s="26">
        <v>1</v>
      </c>
    </row>
    <row r="306" spans="3:4">
      <c r="C306" s="25" t="s">
        <v>318</v>
      </c>
      <c r="D306" s="26">
        <v>1</v>
      </c>
    </row>
    <row r="307" spans="3:4">
      <c r="C307" s="25" t="s">
        <v>319</v>
      </c>
      <c r="D307" s="26">
        <v>1</v>
      </c>
    </row>
    <row r="308" spans="3:4">
      <c r="C308" s="25" t="s">
        <v>320</v>
      </c>
      <c r="D308" s="26">
        <v>1</v>
      </c>
    </row>
    <row r="309" spans="3:4">
      <c r="C309" s="25" t="s">
        <v>321</v>
      </c>
      <c r="D309" s="26">
        <v>1</v>
      </c>
    </row>
    <row r="310" spans="3:4">
      <c r="C310" s="25" t="s">
        <v>322</v>
      </c>
      <c r="D310" s="26">
        <v>1</v>
      </c>
    </row>
    <row r="311" spans="3:4">
      <c r="C311" s="25" t="s">
        <v>323</v>
      </c>
      <c r="D311" s="26">
        <v>1</v>
      </c>
    </row>
    <row r="312" spans="3:4">
      <c r="C312" s="25" t="s">
        <v>324</v>
      </c>
      <c r="D312" s="26">
        <v>1</v>
      </c>
    </row>
    <row r="313" spans="3:4">
      <c r="C313" s="25" t="s">
        <v>325</v>
      </c>
      <c r="D313" s="26">
        <v>1</v>
      </c>
    </row>
    <row r="314" spans="3:4">
      <c r="C314" s="25" t="s">
        <v>326</v>
      </c>
      <c r="D314" s="26">
        <v>1</v>
      </c>
    </row>
    <row r="315" spans="3:4">
      <c r="C315" s="25" t="s">
        <v>327</v>
      </c>
      <c r="D315" s="26">
        <v>1</v>
      </c>
    </row>
    <row r="316" spans="3:4">
      <c r="C316" s="25" t="s">
        <v>328</v>
      </c>
      <c r="D316" s="26">
        <v>1</v>
      </c>
    </row>
    <row r="317" spans="3:4">
      <c r="C317" s="25" t="s">
        <v>329</v>
      </c>
      <c r="D317" s="26">
        <v>1</v>
      </c>
    </row>
    <row r="318" spans="3:4">
      <c r="C318" s="25" t="s">
        <v>330</v>
      </c>
      <c r="D318" s="26">
        <v>1</v>
      </c>
    </row>
    <row r="319" spans="3:4">
      <c r="C319" s="25" t="s">
        <v>331</v>
      </c>
      <c r="D319" s="26">
        <v>1</v>
      </c>
    </row>
    <row r="320" spans="3:4">
      <c r="C320" s="25" t="s">
        <v>332</v>
      </c>
      <c r="D320" s="26">
        <v>1</v>
      </c>
    </row>
    <row r="321" spans="3:4">
      <c r="C321" s="25" t="s">
        <v>333</v>
      </c>
      <c r="D321" s="26">
        <v>1</v>
      </c>
    </row>
    <row r="322" spans="3:4">
      <c r="C322" s="25" t="s">
        <v>334</v>
      </c>
      <c r="D322" s="26">
        <v>1</v>
      </c>
    </row>
    <row r="323" spans="3:4">
      <c r="C323" s="25" t="s">
        <v>335</v>
      </c>
      <c r="D323" s="26">
        <v>1</v>
      </c>
    </row>
    <row r="324" spans="3:4">
      <c r="C324" s="25" t="s">
        <v>336</v>
      </c>
      <c r="D324" s="26">
        <v>1</v>
      </c>
    </row>
    <row r="325" spans="3:4">
      <c r="C325" s="25" t="s">
        <v>337</v>
      </c>
      <c r="D325" s="26">
        <v>1</v>
      </c>
    </row>
    <row r="326" spans="3:4">
      <c r="C326" s="25" t="s">
        <v>338</v>
      </c>
      <c r="D326" s="26">
        <v>1</v>
      </c>
    </row>
    <row r="327" spans="3:4">
      <c r="C327" s="25" t="s">
        <v>339</v>
      </c>
      <c r="D327" s="26">
        <v>1</v>
      </c>
    </row>
    <row r="328" spans="3:4">
      <c r="C328" s="25" t="s">
        <v>340</v>
      </c>
      <c r="D328" s="26">
        <v>1</v>
      </c>
    </row>
    <row r="329" spans="3:4">
      <c r="C329" s="25" t="s">
        <v>341</v>
      </c>
      <c r="D329" s="26">
        <v>1</v>
      </c>
    </row>
    <row r="330" spans="3:4">
      <c r="C330" s="25" t="s">
        <v>342</v>
      </c>
      <c r="D330" s="26">
        <v>1</v>
      </c>
    </row>
    <row r="331" spans="3:4">
      <c r="C331" s="25" t="s">
        <v>343</v>
      </c>
      <c r="D331" s="26">
        <v>1</v>
      </c>
    </row>
    <row r="332" spans="3:4">
      <c r="C332" s="25" t="s">
        <v>344</v>
      </c>
      <c r="D332" s="26">
        <v>1</v>
      </c>
    </row>
    <row r="333" spans="3:4">
      <c r="C333" s="25" t="s">
        <v>345</v>
      </c>
      <c r="D333" s="26">
        <v>1</v>
      </c>
    </row>
    <row r="334" spans="3:4">
      <c r="C334" s="25" t="s">
        <v>346</v>
      </c>
      <c r="D334" s="26">
        <v>1</v>
      </c>
    </row>
    <row r="335" spans="3:4">
      <c r="C335" s="25" t="s">
        <v>347</v>
      </c>
      <c r="D335" s="26">
        <v>1</v>
      </c>
    </row>
    <row r="336" spans="3:4">
      <c r="C336" s="25" t="s">
        <v>348</v>
      </c>
      <c r="D336" s="26">
        <v>1</v>
      </c>
    </row>
    <row r="337" spans="3:4">
      <c r="C337" s="25" t="s">
        <v>349</v>
      </c>
      <c r="D337" s="26">
        <v>1</v>
      </c>
    </row>
    <row r="338" spans="3:4">
      <c r="C338" s="25" t="s">
        <v>350</v>
      </c>
      <c r="D338" s="26">
        <v>1</v>
      </c>
    </row>
    <row r="339" spans="3:4">
      <c r="C339" s="25" t="s">
        <v>351</v>
      </c>
      <c r="D339" s="26">
        <v>1</v>
      </c>
    </row>
    <row r="340" spans="3:4">
      <c r="C340" s="25" t="s">
        <v>352</v>
      </c>
      <c r="D340" s="26">
        <v>1</v>
      </c>
    </row>
    <row r="341" spans="3:4">
      <c r="C341" s="25" t="s">
        <v>353</v>
      </c>
      <c r="D341" s="26">
        <v>1</v>
      </c>
    </row>
    <row r="342" spans="3:4">
      <c r="C342" s="25" t="s">
        <v>354</v>
      </c>
      <c r="D342" s="26">
        <v>1</v>
      </c>
    </row>
    <row r="343" spans="3:4">
      <c r="C343" s="25" t="s">
        <v>355</v>
      </c>
      <c r="D343" s="26">
        <v>1</v>
      </c>
    </row>
    <row r="344" spans="3:4">
      <c r="C344" s="25" t="s">
        <v>356</v>
      </c>
      <c r="D344" s="26">
        <v>1</v>
      </c>
    </row>
    <row r="345" spans="3:4">
      <c r="C345" s="25" t="s">
        <v>357</v>
      </c>
      <c r="D345" s="26">
        <v>1</v>
      </c>
    </row>
    <row r="346" spans="3:4">
      <c r="C346" s="25" t="s">
        <v>358</v>
      </c>
      <c r="D346" s="26">
        <v>1</v>
      </c>
    </row>
    <row r="347" spans="3:4">
      <c r="C347" s="25" t="s">
        <v>359</v>
      </c>
      <c r="D347" s="26">
        <v>1</v>
      </c>
    </row>
    <row r="348" spans="3:4">
      <c r="C348" s="25" t="s">
        <v>360</v>
      </c>
      <c r="D348" s="26">
        <v>1</v>
      </c>
    </row>
    <row r="349" spans="3:4">
      <c r="C349" s="25" t="s">
        <v>361</v>
      </c>
      <c r="D349" s="26">
        <v>1</v>
      </c>
    </row>
    <row r="350" spans="3:4">
      <c r="C350" s="25" t="s">
        <v>362</v>
      </c>
      <c r="D350" s="26">
        <v>1</v>
      </c>
    </row>
    <row r="351" spans="3:4">
      <c r="C351" s="25" t="s">
        <v>363</v>
      </c>
      <c r="D351" s="26">
        <v>1</v>
      </c>
    </row>
    <row r="352" spans="3:4">
      <c r="C352" s="25" t="s">
        <v>364</v>
      </c>
      <c r="D352" s="26">
        <v>1</v>
      </c>
    </row>
    <row r="353" spans="3:4">
      <c r="C353" s="25" t="s">
        <v>365</v>
      </c>
      <c r="D353" s="26">
        <v>1</v>
      </c>
    </row>
    <row r="354" spans="3:4">
      <c r="C354" s="25" t="s">
        <v>366</v>
      </c>
      <c r="D354" s="26">
        <v>1</v>
      </c>
    </row>
    <row r="355" spans="3:4">
      <c r="C355" s="25" t="s">
        <v>367</v>
      </c>
      <c r="D355" s="26">
        <v>1</v>
      </c>
    </row>
    <row r="356" spans="3:4">
      <c r="C356" s="25" t="s">
        <v>368</v>
      </c>
      <c r="D356" s="26">
        <v>1</v>
      </c>
    </row>
    <row r="357" spans="3:4">
      <c r="C357" s="25" t="s">
        <v>369</v>
      </c>
      <c r="D357" s="26">
        <v>1</v>
      </c>
    </row>
    <row r="358" spans="3:4">
      <c r="C358" s="25" t="s">
        <v>370</v>
      </c>
      <c r="D358" s="26">
        <v>1</v>
      </c>
    </row>
    <row r="359" spans="3:4">
      <c r="C359" s="25" t="s">
        <v>371</v>
      </c>
      <c r="D359" s="26">
        <v>1</v>
      </c>
    </row>
    <row r="360" spans="3:4">
      <c r="C360" s="25" t="s">
        <v>372</v>
      </c>
      <c r="D360" s="26">
        <v>1</v>
      </c>
    </row>
    <row r="361" spans="3:4">
      <c r="C361" s="25" t="s">
        <v>373</v>
      </c>
      <c r="D361" s="26">
        <v>1</v>
      </c>
    </row>
    <row r="362" spans="3:4">
      <c r="C362" s="25" t="s">
        <v>374</v>
      </c>
      <c r="D362" s="26">
        <v>1</v>
      </c>
    </row>
    <row r="363" spans="3:4">
      <c r="C363" s="25" t="s">
        <v>375</v>
      </c>
      <c r="D363" s="26">
        <v>1</v>
      </c>
    </row>
    <row r="364" spans="3:4">
      <c r="C364" s="25" t="s">
        <v>376</v>
      </c>
      <c r="D364" s="26">
        <v>1</v>
      </c>
    </row>
    <row r="365" spans="3:4">
      <c r="C365" s="25" t="s">
        <v>377</v>
      </c>
      <c r="D365" s="26">
        <v>1</v>
      </c>
    </row>
    <row r="366" spans="3:4">
      <c r="C366" s="25" t="s">
        <v>378</v>
      </c>
      <c r="D366" s="26">
        <v>1</v>
      </c>
    </row>
    <row r="367" spans="3:4">
      <c r="C367" s="25" t="s">
        <v>379</v>
      </c>
      <c r="D367" s="26">
        <v>1</v>
      </c>
    </row>
    <row r="368" spans="3:4">
      <c r="C368" s="25" t="s">
        <v>380</v>
      </c>
      <c r="D368" s="26">
        <v>1</v>
      </c>
    </row>
    <row r="369" spans="3:4">
      <c r="C369" s="25" t="s">
        <v>381</v>
      </c>
      <c r="D369" s="26">
        <v>1</v>
      </c>
    </row>
  </sheetData>
  <mergeCells count="1">
    <mergeCell ref="C3:D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86C8F-1B69-4BDE-A6BB-EB118F91A787}"/>
</file>

<file path=customXml/itemProps2.xml><?xml version="1.0" encoding="utf-8"?>
<ds:datastoreItem xmlns:ds="http://schemas.openxmlformats.org/officeDocument/2006/customXml" ds:itemID="{47B7E8AF-76D1-43A1-BA41-E59AF462A33C}"/>
</file>

<file path=customXml/itemProps3.xml><?xml version="1.0" encoding="utf-8"?>
<ds:datastoreItem xmlns:ds="http://schemas.openxmlformats.org/officeDocument/2006/customXml" ds:itemID="{377E72E4-C086-4E01-887D-7D92881C0F9D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Gonneville, Jeffrey</cp:lastModifiedBy>
  <cp:revision/>
  <dcterms:created xsi:type="dcterms:W3CDTF">2006-09-16T00:00:00Z</dcterms:created>
  <dcterms:modified xsi:type="dcterms:W3CDTF">2025-03-24T15:56:29Z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  <property fmtid="{D5CDD505-2E9C-101B-9397-08002B2CF9AE}" pid="3" name="MediaServiceImageTags">
    <vt:lpwstr/>
  </property>
</Properties>
</file>